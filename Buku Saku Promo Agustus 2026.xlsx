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lnd365-my.sharepoint.com/personal/sugi_mulyono_rodalink_com/Documents/Retail Project/"/>
    </mc:Choice>
  </mc:AlternateContent>
  <xr:revisionPtr revIDLastSave="10" documentId="8_{3780EE4A-5ACF-48B3-99CC-A512C67E8EA3}" xr6:coauthVersionLast="47" xr6:coauthVersionMax="47" xr10:uidLastSave="{6F2D8128-20C3-4E4A-8A9B-4F196F29E6F5}"/>
  <bookViews>
    <workbookView xWindow="-110" yWindow="-110" windowWidth="19420" windowHeight="10420" tabRatio="867" xr2:uid="{AC88AEFB-E144-4863-8A86-EA4580A60F73}"/>
  </bookViews>
  <sheets>
    <sheet name="Rekap" sheetId="4" r:id="rId1"/>
    <sheet name="Diskon Up to 81%" sheetId="9" r:id="rId2"/>
    <sheet name="Diskon 10% Thule" sheetId="11" r:id="rId3"/>
    <sheet name="Gratis Tas_Paper Bag" sheetId="7" r:id="rId4"/>
    <sheet name="Aging PAA" sheetId="3" r:id="rId5"/>
    <sheet name="Aging Polygon" sheetId="5" r:id="rId6"/>
    <sheet name="Aging Marin" sheetId="6" r:id="rId7"/>
  </sheets>
  <definedNames>
    <definedName name="_xlnm._FilterDatabase" localSheetId="4" hidden="1">'Aging PAA'!$A$1:$H$1118</definedName>
    <definedName name="_xlnm._FilterDatabase" localSheetId="1" hidden="1">'Diskon Up to 81%'!$A$2:$O$1199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99" i="9" l="1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31" i="9"/>
  <c r="M1130" i="9"/>
  <c r="M1129" i="9"/>
  <c r="M1128" i="9"/>
  <c r="M1127" i="9"/>
  <c r="M1126" i="9"/>
  <c r="M1125" i="9"/>
  <c r="M1124" i="9"/>
  <c r="M1123" i="9"/>
  <c r="M1122" i="9"/>
  <c r="M1121" i="9"/>
  <c r="M1120" i="9"/>
  <c r="M1119" i="9"/>
  <c r="M1118" i="9"/>
  <c r="M1117" i="9"/>
  <c r="M1116" i="9"/>
  <c r="M1115" i="9"/>
  <c r="M1114" i="9"/>
  <c r="M1113" i="9"/>
  <c r="M1112" i="9"/>
  <c r="M1111" i="9"/>
  <c r="M1110" i="9"/>
  <c r="M1109" i="9"/>
  <c r="M1108" i="9"/>
  <c r="M1107" i="9"/>
  <c r="M1106" i="9"/>
  <c r="M1105" i="9"/>
  <c r="M1104" i="9"/>
  <c r="M1103" i="9"/>
  <c r="M1102" i="9"/>
  <c r="M1101" i="9"/>
  <c r="M1100" i="9"/>
  <c r="M1099" i="9"/>
  <c r="M1098" i="9"/>
  <c r="M1097" i="9"/>
  <c r="M1096" i="9"/>
  <c r="M1095" i="9"/>
  <c r="M1094" i="9"/>
  <c r="M1093" i="9"/>
  <c r="M1092" i="9"/>
  <c r="M1091" i="9"/>
  <c r="M1090" i="9"/>
  <c r="M1089" i="9"/>
  <c r="M1088" i="9"/>
  <c r="M1087" i="9"/>
  <c r="M1086" i="9"/>
  <c r="M1085" i="9"/>
  <c r="M1084" i="9"/>
  <c r="M1083" i="9"/>
  <c r="M1082" i="9"/>
  <c r="M1081" i="9"/>
  <c r="M1080" i="9"/>
  <c r="M1079" i="9"/>
  <c r="M1078" i="9"/>
  <c r="M1077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M970" i="9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868" i="9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H18" i="11" l="1"/>
  <c r="H17" i="11"/>
  <c r="H16" i="11"/>
  <c r="H15" i="11"/>
  <c r="H14" i="11"/>
  <c r="H10" i="11"/>
  <c r="H9" i="11"/>
  <c r="H8" i="11"/>
  <c r="H7" i="11"/>
  <c r="H6" i="11"/>
  <c r="H5" i="11"/>
  <c r="H4" i="11"/>
  <c r="H3" i="11"/>
  <c r="N1198" i="9"/>
  <c r="N1197" i="9"/>
  <c r="N1196" i="9"/>
  <c r="N1195" i="9"/>
  <c r="N1194" i="9"/>
  <c r="N1193" i="9"/>
  <c r="N1190" i="9"/>
  <c r="N1189" i="9"/>
  <c r="N1188" i="9"/>
  <c r="N1187" i="9"/>
  <c r="N1186" i="9"/>
  <c r="N1185" i="9"/>
  <c r="N1184" i="9"/>
  <c r="N1183" i="9"/>
  <c r="N1182" i="9"/>
  <c r="N1181" i="9"/>
  <c r="N1180" i="9"/>
  <c r="N1176" i="9"/>
  <c r="N1175" i="9"/>
  <c r="N1174" i="9"/>
  <c r="N1173" i="9"/>
  <c r="N1172" i="9"/>
  <c r="N1171" i="9"/>
  <c r="N1170" i="9"/>
  <c r="N1169" i="9"/>
  <c r="N1168" i="9"/>
  <c r="N1167" i="9"/>
  <c r="N1166" i="9"/>
  <c r="N1165" i="9"/>
  <c r="N1146" i="9"/>
  <c r="N1143" i="9"/>
  <c r="N1142" i="9"/>
  <c r="N1141" i="9"/>
  <c r="N1140" i="9"/>
  <c r="N1139" i="9"/>
  <c r="N1137" i="9"/>
  <c r="N1136" i="9"/>
  <c r="N1135" i="9"/>
  <c r="N1133" i="9"/>
  <c r="N1132" i="9"/>
  <c r="N1130" i="9"/>
  <c r="N1128" i="9"/>
  <c r="N1127" i="9"/>
  <c r="N1126" i="9"/>
  <c r="N1125" i="9"/>
  <c r="N1124" i="9"/>
  <c r="N1123" i="9"/>
  <c r="N1122" i="9"/>
  <c r="N1121" i="9"/>
  <c r="N1120" i="9"/>
  <c r="N1119" i="9"/>
  <c r="N1118" i="9"/>
  <c r="N1117" i="9"/>
  <c r="N1116" i="9"/>
  <c r="N1115" i="9"/>
  <c r="N1114" i="9"/>
  <c r="N1113" i="9"/>
  <c r="N1112" i="9"/>
  <c r="N1111" i="9"/>
  <c r="N1110" i="9"/>
  <c r="N1109" i="9"/>
  <c r="N1092" i="9"/>
  <c r="N1091" i="9"/>
  <c r="N1090" i="9"/>
  <c r="N1089" i="9"/>
  <c r="N1088" i="9"/>
  <c r="N1087" i="9"/>
  <c r="N1086" i="9"/>
  <c r="N1085" i="9"/>
  <c r="N1084" i="9"/>
  <c r="N1083" i="9"/>
  <c r="N1082" i="9"/>
  <c r="N1079" i="9"/>
  <c r="N1078" i="9"/>
  <c r="N1077" i="9"/>
  <c r="N1076" i="9"/>
  <c r="N1075" i="9"/>
  <c r="N1074" i="9"/>
  <c r="N1073" i="9"/>
  <c r="N1072" i="9"/>
  <c r="N1071" i="9"/>
  <c r="N1070" i="9"/>
  <c r="N1069" i="9"/>
  <c r="N1067" i="9"/>
  <c r="N1066" i="9"/>
  <c r="N1065" i="9"/>
  <c r="N1064" i="9"/>
  <c r="N1063" i="9"/>
  <c r="N1062" i="9"/>
  <c r="N1055" i="9"/>
  <c r="N1054" i="9"/>
  <c r="N1053" i="9"/>
  <c r="N1052" i="9"/>
  <c r="N1051" i="9"/>
  <c r="N1050" i="9"/>
  <c r="N1049" i="9"/>
  <c r="N1048" i="9"/>
  <c r="N1047" i="9"/>
  <c r="N1046" i="9"/>
  <c r="N1038" i="9"/>
  <c r="N1037" i="9"/>
  <c r="N1035" i="9"/>
  <c r="N1034" i="9"/>
  <c r="N1033" i="9"/>
  <c r="N1032" i="9"/>
  <c r="N1031" i="9"/>
  <c r="N1020" i="9"/>
  <c r="N1019" i="9"/>
  <c r="N1018" i="9"/>
  <c r="N1017" i="9"/>
  <c r="N1016" i="9"/>
  <c r="N1015" i="9"/>
  <c r="N1014" i="9"/>
  <c r="N1013" i="9"/>
  <c r="N1012" i="9"/>
  <c r="N1011" i="9"/>
  <c r="N1010" i="9"/>
  <c r="N1009" i="9"/>
  <c r="N1008" i="9"/>
  <c r="N1007" i="9"/>
  <c r="N1006" i="9"/>
  <c r="N1005" i="9"/>
  <c r="N1004" i="9"/>
  <c r="N1003" i="9"/>
  <c r="N1002" i="9"/>
  <c r="N1001" i="9"/>
  <c r="N1000" i="9"/>
  <c r="N999" i="9"/>
  <c r="N997" i="9"/>
  <c r="N989" i="9"/>
  <c r="N988" i="9"/>
  <c r="N987" i="9"/>
  <c r="N986" i="9"/>
  <c r="N985" i="9"/>
  <c r="N984" i="9"/>
  <c r="N983" i="9"/>
  <c r="N982" i="9"/>
  <c r="N977" i="9"/>
  <c r="N976" i="9"/>
  <c r="N975" i="9"/>
  <c r="N974" i="9"/>
  <c r="N973" i="9"/>
  <c r="N972" i="9"/>
  <c r="N971" i="9"/>
  <c r="N970" i="9"/>
  <c r="N969" i="9"/>
  <c r="N968" i="9"/>
  <c r="N967" i="9"/>
  <c r="N966" i="9"/>
  <c r="N965" i="9"/>
  <c r="N964" i="9"/>
  <c r="N963" i="9"/>
  <c r="N962" i="9"/>
  <c r="N961" i="9"/>
  <c r="N960" i="9"/>
  <c r="N959" i="9"/>
  <c r="N958" i="9"/>
  <c r="N954" i="9"/>
  <c r="N952" i="9"/>
  <c r="N951" i="9"/>
  <c r="N950" i="9"/>
  <c r="N949" i="9"/>
  <c r="N948" i="9"/>
  <c r="N947" i="9"/>
  <c r="N945" i="9"/>
  <c r="N944" i="9"/>
  <c r="N943" i="9"/>
  <c r="N942" i="9"/>
  <c r="N941" i="9"/>
  <c r="N940" i="9"/>
  <c r="N939" i="9"/>
  <c r="N938" i="9"/>
  <c r="N937" i="9"/>
  <c r="N936" i="9"/>
  <c r="N934" i="9"/>
  <c r="N933" i="9"/>
  <c r="N932" i="9"/>
  <c r="N931" i="9"/>
  <c r="N930" i="9"/>
  <c r="N929" i="9"/>
  <c r="N928" i="9"/>
  <c r="N927" i="9"/>
  <c r="N926" i="9"/>
  <c r="N925" i="9"/>
  <c r="N924" i="9"/>
  <c r="N923" i="9"/>
  <c r="N922" i="9"/>
  <c r="N921" i="9"/>
  <c r="N920" i="9"/>
  <c r="N919" i="9"/>
  <c r="N918" i="9"/>
  <c r="N915" i="9"/>
  <c r="N914" i="9"/>
  <c r="N913" i="9"/>
  <c r="N912" i="9"/>
  <c r="N911" i="9"/>
  <c r="N910" i="9"/>
  <c r="N909" i="9"/>
  <c r="N908" i="9"/>
  <c r="N907" i="9"/>
  <c r="N906" i="9"/>
  <c r="N905" i="9"/>
  <c r="N904" i="9"/>
  <c r="N903" i="9"/>
  <c r="N902" i="9"/>
  <c r="N901" i="9"/>
  <c r="N900" i="9"/>
  <c r="N899" i="9"/>
  <c r="N898" i="9"/>
  <c r="N897" i="9"/>
  <c r="N896" i="9"/>
  <c r="N895" i="9"/>
  <c r="N894" i="9"/>
  <c r="N893" i="9"/>
  <c r="N892" i="9"/>
  <c r="N891" i="9"/>
  <c r="N890" i="9"/>
  <c r="N889" i="9"/>
  <c r="N888" i="9"/>
  <c r="N887" i="9"/>
  <c r="N886" i="9"/>
  <c r="N885" i="9"/>
  <c r="N884" i="9"/>
  <c r="N883" i="9"/>
  <c r="N882" i="9"/>
  <c r="N881" i="9"/>
  <c r="N880" i="9"/>
  <c r="N865" i="9"/>
  <c r="N845" i="9"/>
  <c r="N833" i="9"/>
  <c r="N832" i="9"/>
  <c r="N831" i="9"/>
  <c r="N830" i="9"/>
  <c r="N829" i="9"/>
  <c r="N825" i="9"/>
  <c r="N824" i="9"/>
  <c r="N823" i="9"/>
  <c r="N822" i="9"/>
  <c r="N820" i="9"/>
  <c r="N819" i="9"/>
  <c r="N818" i="9"/>
  <c r="N817" i="9"/>
  <c r="N815" i="9"/>
  <c r="N813" i="9"/>
  <c r="N808" i="9"/>
  <c r="N807" i="9"/>
  <c r="N806" i="9"/>
  <c r="N805" i="9"/>
  <c r="N803" i="9"/>
  <c r="N802" i="9"/>
  <c r="N801" i="9"/>
  <c r="N800" i="9"/>
  <c r="N799" i="9"/>
  <c r="N798" i="9"/>
  <c r="N797" i="9"/>
  <c r="N796" i="9"/>
  <c r="N795" i="9"/>
  <c r="N794" i="9"/>
  <c r="N793" i="9"/>
  <c r="N792" i="9"/>
  <c r="N791" i="9"/>
  <c r="N790" i="9"/>
  <c r="N789" i="9"/>
  <c r="N788" i="9"/>
  <c r="N787" i="9"/>
  <c r="N786" i="9"/>
  <c r="N785" i="9"/>
  <c r="N701" i="9"/>
  <c r="N700" i="9"/>
  <c r="N699" i="9"/>
  <c r="N698" i="9"/>
  <c r="N697" i="9"/>
  <c r="N696" i="9"/>
  <c r="N695" i="9"/>
  <c r="N694" i="9"/>
  <c r="N670" i="9"/>
  <c r="N669" i="9"/>
  <c r="N668" i="9"/>
  <c r="N667" i="9"/>
  <c r="N666" i="9"/>
  <c r="N665" i="9"/>
  <c r="N664" i="9"/>
  <c r="N663" i="9"/>
  <c r="N662" i="9"/>
  <c r="N661" i="9"/>
  <c r="N660" i="9"/>
  <c r="N659" i="9"/>
  <c r="N658" i="9"/>
  <c r="N657" i="9"/>
  <c r="N656" i="9"/>
  <c r="N655" i="9"/>
  <c r="N654" i="9"/>
  <c r="N653" i="9"/>
  <c r="N652" i="9"/>
  <c r="N651" i="9"/>
  <c r="N650" i="9"/>
  <c r="N649" i="9"/>
  <c r="N648" i="9"/>
  <c r="N647" i="9"/>
  <c r="N638" i="9"/>
  <c r="N637" i="9"/>
  <c r="N636" i="9"/>
  <c r="N631" i="9"/>
  <c r="N630" i="9"/>
  <c r="N629" i="9"/>
  <c r="N628" i="9"/>
  <c r="N627" i="9"/>
  <c r="N626" i="9"/>
  <c r="N625" i="9"/>
  <c r="N624" i="9"/>
  <c r="N623" i="9"/>
  <c r="N622" i="9"/>
  <c r="N621" i="9"/>
  <c r="N620" i="9"/>
  <c r="N619" i="9"/>
  <c r="N616" i="9"/>
  <c r="N615" i="9"/>
  <c r="N614" i="9"/>
  <c r="N613" i="9"/>
  <c r="N612" i="9"/>
  <c r="N609" i="9"/>
  <c r="N608" i="9"/>
  <c r="N607" i="9"/>
  <c r="N606" i="9"/>
  <c r="N605" i="9"/>
  <c r="N604" i="9"/>
  <c r="N603" i="9"/>
  <c r="N600" i="9"/>
  <c r="N599" i="9"/>
  <c r="N598" i="9"/>
  <c r="N597" i="9"/>
  <c r="N596" i="9"/>
  <c r="N595" i="9"/>
  <c r="N594" i="9"/>
  <c r="N593" i="9"/>
  <c r="N592" i="9"/>
  <c r="N586" i="9"/>
  <c r="N580" i="9"/>
  <c r="N579" i="9"/>
  <c r="N578" i="9"/>
  <c r="N577" i="9"/>
  <c r="N576" i="9"/>
  <c r="N575" i="9"/>
  <c r="N574" i="9"/>
  <c r="N573" i="9"/>
  <c r="N572" i="9"/>
  <c r="N571" i="9"/>
  <c r="N570" i="9"/>
  <c r="N569" i="9"/>
  <c r="N551" i="9"/>
  <c r="N550" i="9"/>
  <c r="N549" i="9"/>
  <c r="N548" i="9"/>
  <c r="N547" i="9"/>
  <c r="N546" i="9"/>
  <c r="N545" i="9"/>
  <c r="N544" i="9"/>
  <c r="N543" i="9"/>
  <c r="N542" i="9"/>
  <c r="N541" i="9"/>
  <c r="N540" i="9"/>
  <c r="N539" i="9"/>
  <c r="N538" i="9"/>
  <c r="N537" i="9"/>
  <c r="N534" i="9"/>
  <c r="N533" i="9"/>
  <c r="N529" i="9"/>
  <c r="N528" i="9"/>
  <c r="N527" i="9"/>
  <c r="N526" i="9"/>
  <c r="N525" i="9"/>
  <c r="N524" i="9"/>
  <c r="N523" i="9"/>
  <c r="N522" i="9"/>
  <c r="N521" i="9"/>
  <c r="N520" i="9"/>
  <c r="N519" i="9"/>
  <c r="N518" i="9"/>
  <c r="N517" i="9"/>
  <c r="N516" i="9"/>
  <c r="N515" i="9"/>
  <c r="N514" i="9"/>
  <c r="N513" i="9"/>
  <c r="N512" i="9"/>
  <c r="N511" i="9"/>
  <c r="N510" i="9"/>
  <c r="N470" i="9"/>
  <c r="N467" i="9"/>
  <c r="N466" i="9"/>
  <c r="N465" i="9"/>
  <c r="N464" i="9"/>
  <c r="N463" i="9"/>
  <c r="N462" i="9"/>
  <c r="N461" i="9"/>
  <c r="N460" i="9"/>
  <c r="N459" i="9"/>
  <c r="N458" i="9"/>
  <c r="N457" i="9"/>
  <c r="N456" i="9"/>
  <c r="N455" i="9"/>
  <c r="N454" i="9"/>
  <c r="N453" i="9"/>
  <c r="N452" i="9"/>
  <c r="N451" i="9"/>
  <c r="N450" i="9"/>
  <c r="N449" i="9"/>
  <c r="N448" i="9"/>
  <c r="N447" i="9"/>
  <c r="N446" i="9"/>
  <c r="N445" i="9"/>
  <c r="N421" i="9"/>
  <c r="N420" i="9"/>
  <c r="N419" i="9"/>
  <c r="N418" i="9"/>
  <c r="N417" i="9"/>
  <c r="N416" i="9"/>
  <c r="N415" i="9"/>
  <c r="N404" i="9"/>
  <c r="N403" i="9"/>
  <c r="N399" i="9"/>
  <c r="N398" i="9"/>
  <c r="N394" i="9"/>
  <c r="N393" i="9"/>
  <c r="N390" i="9"/>
  <c r="N389" i="9"/>
  <c r="N388" i="9"/>
  <c r="N387" i="9"/>
  <c r="N386" i="9"/>
  <c r="N385" i="9"/>
  <c r="N384" i="9"/>
  <c r="N383" i="9"/>
  <c r="N382" i="9"/>
  <c r="N381" i="9"/>
  <c r="N380" i="9"/>
  <c r="N379" i="9"/>
  <c r="N378" i="9"/>
  <c r="N377" i="9"/>
  <c r="N376" i="9"/>
  <c r="N375" i="9"/>
  <c r="N374" i="9"/>
  <c r="N373" i="9"/>
  <c r="N372" i="9"/>
  <c r="N345" i="9"/>
  <c r="N344" i="9"/>
  <c r="N340" i="9"/>
  <c r="N339" i="9"/>
  <c r="N337" i="9"/>
  <c r="N336" i="9"/>
  <c r="N332" i="9"/>
  <c r="N331" i="9"/>
  <c r="N327" i="9"/>
  <c r="N326" i="9"/>
  <c r="N323" i="9"/>
  <c r="N322" i="9"/>
  <c r="N318" i="9"/>
  <c r="N317" i="9"/>
  <c r="N313" i="9"/>
  <c r="N312" i="9"/>
  <c r="N311" i="9"/>
  <c r="N310" i="9"/>
  <c r="N309" i="9"/>
  <c r="N308" i="9"/>
  <c r="N307" i="9"/>
  <c r="N306" i="9"/>
  <c r="N305" i="9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2" i="9"/>
  <c r="N271" i="9"/>
  <c r="N269" i="9"/>
  <c r="N187" i="9"/>
  <c r="N186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55" i="9"/>
  <c r="N154" i="9"/>
  <c r="N148" i="9"/>
  <c r="N147" i="9"/>
  <c r="N146" i="9"/>
  <c r="N145" i="9"/>
  <c r="N144" i="9"/>
  <c r="N143" i="9"/>
  <c r="N136" i="9"/>
  <c r="N135" i="9"/>
  <c r="N134" i="9"/>
  <c r="N133" i="9"/>
  <c r="N132" i="9"/>
  <c r="N131" i="9"/>
  <c r="N130" i="9"/>
  <c r="N128" i="9"/>
  <c r="N116" i="9"/>
  <c r="N94" i="9"/>
  <c r="N93" i="9"/>
  <c r="N92" i="9"/>
  <c r="N85" i="9"/>
  <c r="N84" i="9"/>
  <c r="N81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40" i="9"/>
  <c r="N32" i="9"/>
  <c r="N23" i="9"/>
  <c r="N22" i="9"/>
  <c r="N17" i="9"/>
  <c r="N16" i="9"/>
  <c r="N3" i="9"/>
  <c r="N1199" i="9"/>
  <c r="J1199" i="9"/>
  <c r="J1198" i="9"/>
  <c r="J1197" i="9"/>
  <c r="J1196" i="9"/>
  <c r="J1195" i="9"/>
  <c r="J1194" i="9"/>
  <c r="J1193" i="9"/>
  <c r="N1192" i="9"/>
  <c r="J1192" i="9"/>
  <c r="N1191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N1179" i="9"/>
  <c r="J1179" i="9"/>
  <c r="N1178" i="9"/>
  <c r="J1178" i="9"/>
  <c r="N1177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N1164" i="9"/>
  <c r="J1164" i="9"/>
  <c r="N1163" i="9"/>
  <c r="J1163" i="9"/>
  <c r="N1162" i="9"/>
  <c r="J1162" i="9"/>
  <c r="N1161" i="9"/>
  <c r="J1161" i="9"/>
  <c r="N1160" i="9"/>
  <c r="J1160" i="9"/>
  <c r="N1159" i="9"/>
  <c r="J1159" i="9"/>
  <c r="N1158" i="9"/>
  <c r="J1158" i="9"/>
  <c r="N1157" i="9"/>
  <c r="J1157" i="9"/>
  <c r="N1156" i="9"/>
  <c r="J1156" i="9"/>
  <c r="N1155" i="9"/>
  <c r="J1155" i="9"/>
  <c r="N1154" i="9"/>
  <c r="J1154" i="9"/>
  <c r="N1153" i="9"/>
  <c r="J1153" i="9"/>
  <c r="N1152" i="9"/>
  <c r="J1152" i="9"/>
  <c r="N1151" i="9"/>
  <c r="J1151" i="9"/>
  <c r="N1150" i="9"/>
  <c r="J1150" i="9"/>
  <c r="N1149" i="9"/>
  <c r="J1149" i="9"/>
  <c r="N1148" i="9"/>
  <c r="J1148" i="9"/>
  <c r="N1147" i="9"/>
  <c r="J1147" i="9"/>
  <c r="J1146" i="9"/>
  <c r="N1145" i="9"/>
  <c r="J1145" i="9"/>
  <c r="N1144" i="9"/>
  <c r="J1144" i="9"/>
  <c r="J1143" i="9"/>
  <c r="J1142" i="9"/>
  <c r="J1141" i="9"/>
  <c r="J1140" i="9"/>
  <c r="J1139" i="9"/>
  <c r="N1138" i="9"/>
  <c r="J1138" i="9"/>
  <c r="J1137" i="9"/>
  <c r="J1136" i="9"/>
  <c r="J1135" i="9"/>
  <c r="N1134" i="9"/>
  <c r="J1134" i="9"/>
  <c r="J1133" i="9"/>
  <c r="J1132" i="9"/>
  <c r="N1131" i="9"/>
  <c r="J1131" i="9"/>
  <c r="J1130" i="9"/>
  <c r="N1129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N1108" i="9"/>
  <c r="J1108" i="9"/>
  <c r="N1107" i="9"/>
  <c r="J1107" i="9"/>
  <c r="N1106" i="9"/>
  <c r="J1106" i="9"/>
  <c r="N1105" i="9"/>
  <c r="J1105" i="9"/>
  <c r="N1104" i="9"/>
  <c r="J1104" i="9"/>
  <c r="N1103" i="9"/>
  <c r="J1103" i="9"/>
  <c r="N1102" i="9"/>
  <c r="J1102" i="9"/>
  <c r="N1101" i="9"/>
  <c r="J1101" i="9"/>
  <c r="N1100" i="9"/>
  <c r="J1100" i="9"/>
  <c r="N1099" i="9"/>
  <c r="J1099" i="9"/>
  <c r="N1098" i="9"/>
  <c r="J1098" i="9"/>
  <c r="N1097" i="9"/>
  <c r="J1097" i="9"/>
  <c r="N1096" i="9"/>
  <c r="J1096" i="9"/>
  <c r="N1095" i="9"/>
  <c r="J1095" i="9"/>
  <c r="N1094" i="9"/>
  <c r="J1094" i="9"/>
  <c r="N1093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N1081" i="9"/>
  <c r="J1081" i="9"/>
  <c r="N1080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N1068" i="9"/>
  <c r="J1068" i="9"/>
  <c r="J1067" i="9"/>
  <c r="J1066" i="9"/>
  <c r="J1065" i="9"/>
  <c r="J1064" i="9"/>
  <c r="J1063" i="9"/>
  <c r="J1062" i="9"/>
  <c r="N1061" i="9"/>
  <c r="J1061" i="9"/>
  <c r="N1060" i="9"/>
  <c r="J1060" i="9"/>
  <c r="N1059" i="9"/>
  <c r="J1059" i="9"/>
  <c r="N1058" i="9"/>
  <c r="J1058" i="9"/>
  <c r="N1057" i="9"/>
  <c r="J1057" i="9"/>
  <c r="N1056" i="9"/>
  <c r="J1056" i="9"/>
  <c r="J1055" i="9"/>
  <c r="J1054" i="9"/>
  <c r="J1053" i="9"/>
  <c r="J1052" i="9"/>
  <c r="J1051" i="9"/>
  <c r="J1050" i="9"/>
  <c r="J1049" i="9"/>
  <c r="J1048" i="9"/>
  <c r="J1047" i="9"/>
  <c r="J1046" i="9"/>
  <c r="N1045" i="9"/>
  <c r="J1045" i="9"/>
  <c r="N1044" i="9"/>
  <c r="J1044" i="9"/>
  <c r="N1043" i="9"/>
  <c r="J1043" i="9"/>
  <c r="N1042" i="9"/>
  <c r="J1042" i="9"/>
  <c r="N1041" i="9"/>
  <c r="J1041" i="9"/>
  <c r="N1040" i="9"/>
  <c r="J1040" i="9"/>
  <c r="N1039" i="9"/>
  <c r="J1039" i="9"/>
  <c r="J1038" i="9"/>
  <c r="J1037" i="9"/>
  <c r="N1036" i="9"/>
  <c r="J1036" i="9"/>
  <c r="J1035" i="9"/>
  <c r="J1034" i="9"/>
  <c r="J1033" i="9"/>
  <c r="J1032" i="9"/>
  <c r="J1031" i="9"/>
  <c r="N1030" i="9"/>
  <c r="J1030" i="9"/>
  <c r="N1029" i="9"/>
  <c r="J1029" i="9"/>
  <c r="N1028" i="9"/>
  <c r="J1028" i="9"/>
  <c r="N1027" i="9"/>
  <c r="J1027" i="9"/>
  <c r="N1026" i="9"/>
  <c r="J1026" i="9"/>
  <c r="N1025" i="9"/>
  <c r="J1025" i="9"/>
  <c r="N1024" i="9"/>
  <c r="J1024" i="9"/>
  <c r="N1023" i="9"/>
  <c r="J1023" i="9"/>
  <c r="N1022" i="9"/>
  <c r="J1022" i="9"/>
  <c r="N1021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N998" i="9"/>
  <c r="J998" i="9"/>
  <c r="J997" i="9"/>
  <c r="N996" i="9"/>
  <c r="J996" i="9"/>
  <c r="N995" i="9"/>
  <c r="J995" i="9"/>
  <c r="N994" i="9"/>
  <c r="J994" i="9"/>
  <c r="N993" i="9"/>
  <c r="J993" i="9"/>
  <c r="N992" i="9"/>
  <c r="J992" i="9"/>
  <c r="N991" i="9"/>
  <c r="J991" i="9"/>
  <c r="N990" i="9"/>
  <c r="J990" i="9"/>
  <c r="J989" i="9"/>
  <c r="J988" i="9"/>
  <c r="J987" i="9"/>
  <c r="J986" i="9"/>
  <c r="J985" i="9"/>
  <c r="J984" i="9"/>
  <c r="J983" i="9"/>
  <c r="J982" i="9"/>
  <c r="N981" i="9"/>
  <c r="J981" i="9"/>
  <c r="N980" i="9"/>
  <c r="J980" i="9"/>
  <c r="N979" i="9"/>
  <c r="J979" i="9"/>
  <c r="N978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N957" i="9"/>
  <c r="J957" i="9"/>
  <c r="N956" i="9"/>
  <c r="J956" i="9"/>
  <c r="N955" i="9"/>
  <c r="J955" i="9"/>
  <c r="J954" i="9"/>
  <c r="N953" i="9"/>
  <c r="J953" i="9"/>
  <c r="J952" i="9"/>
  <c r="J951" i="9"/>
  <c r="J950" i="9"/>
  <c r="J949" i="9"/>
  <c r="J948" i="9"/>
  <c r="J947" i="9"/>
  <c r="N946" i="9"/>
  <c r="J946" i="9"/>
  <c r="J945" i="9"/>
  <c r="J944" i="9"/>
  <c r="J943" i="9"/>
  <c r="J942" i="9"/>
  <c r="J941" i="9"/>
  <c r="J940" i="9"/>
  <c r="J939" i="9"/>
  <c r="J938" i="9"/>
  <c r="J937" i="9"/>
  <c r="J936" i="9"/>
  <c r="N935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N917" i="9"/>
  <c r="J917" i="9"/>
  <c r="N916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N879" i="9"/>
  <c r="J879" i="9"/>
  <c r="N878" i="9"/>
  <c r="J878" i="9"/>
  <c r="N877" i="9"/>
  <c r="J877" i="9"/>
  <c r="N876" i="9"/>
  <c r="J876" i="9"/>
  <c r="N875" i="9"/>
  <c r="J875" i="9"/>
  <c r="N874" i="9"/>
  <c r="J874" i="9"/>
  <c r="N873" i="9"/>
  <c r="J873" i="9"/>
  <c r="N872" i="9"/>
  <c r="J872" i="9"/>
  <c r="N871" i="9"/>
  <c r="J871" i="9"/>
  <c r="N870" i="9"/>
  <c r="J870" i="9"/>
  <c r="N869" i="9"/>
  <c r="J869" i="9"/>
  <c r="N868" i="9"/>
  <c r="J868" i="9"/>
  <c r="N867" i="9"/>
  <c r="J867" i="9"/>
  <c r="N866" i="9"/>
  <c r="J866" i="9"/>
  <c r="J865" i="9"/>
  <c r="N864" i="9"/>
  <c r="J864" i="9"/>
  <c r="N863" i="9"/>
  <c r="J863" i="9"/>
  <c r="N862" i="9"/>
  <c r="J862" i="9"/>
  <c r="N861" i="9"/>
  <c r="J861" i="9"/>
  <c r="N860" i="9"/>
  <c r="J860" i="9"/>
  <c r="N859" i="9"/>
  <c r="J859" i="9"/>
  <c r="N858" i="9"/>
  <c r="J858" i="9"/>
  <c r="N857" i="9"/>
  <c r="J857" i="9"/>
  <c r="N856" i="9"/>
  <c r="J856" i="9"/>
  <c r="N855" i="9"/>
  <c r="J855" i="9"/>
  <c r="N854" i="9"/>
  <c r="J854" i="9"/>
  <c r="N853" i="9"/>
  <c r="J853" i="9"/>
  <c r="N852" i="9"/>
  <c r="J852" i="9"/>
  <c r="N851" i="9"/>
  <c r="J851" i="9"/>
  <c r="N850" i="9"/>
  <c r="J850" i="9"/>
  <c r="N849" i="9"/>
  <c r="J849" i="9"/>
  <c r="N848" i="9"/>
  <c r="J848" i="9"/>
  <c r="N847" i="9"/>
  <c r="J847" i="9"/>
  <c r="N846" i="9"/>
  <c r="J846" i="9"/>
  <c r="J845" i="9"/>
  <c r="N844" i="9"/>
  <c r="J844" i="9"/>
  <c r="N843" i="9"/>
  <c r="J843" i="9"/>
  <c r="N842" i="9"/>
  <c r="J842" i="9"/>
  <c r="N841" i="9"/>
  <c r="J841" i="9"/>
  <c r="N840" i="9"/>
  <c r="J840" i="9"/>
  <c r="N839" i="9"/>
  <c r="J839" i="9"/>
  <c r="N838" i="9"/>
  <c r="J838" i="9"/>
  <c r="N837" i="9"/>
  <c r="J837" i="9"/>
  <c r="N836" i="9"/>
  <c r="J836" i="9"/>
  <c r="N835" i="9"/>
  <c r="J835" i="9"/>
  <c r="N834" i="9"/>
  <c r="J834" i="9"/>
  <c r="J833" i="9"/>
  <c r="J832" i="9"/>
  <c r="J831" i="9"/>
  <c r="J830" i="9"/>
  <c r="J829" i="9"/>
  <c r="N828" i="9"/>
  <c r="J828" i="9"/>
  <c r="N827" i="9"/>
  <c r="J827" i="9"/>
  <c r="N826" i="9"/>
  <c r="J826" i="9"/>
  <c r="J825" i="9"/>
  <c r="J824" i="9"/>
  <c r="J823" i="9"/>
  <c r="J822" i="9"/>
  <c r="N821" i="9"/>
  <c r="J821" i="9"/>
  <c r="J820" i="9"/>
  <c r="J819" i="9"/>
  <c r="J818" i="9"/>
  <c r="J817" i="9"/>
  <c r="N816" i="9"/>
  <c r="J816" i="9"/>
  <c r="J815" i="9"/>
  <c r="N814" i="9"/>
  <c r="J814" i="9"/>
  <c r="J813" i="9"/>
  <c r="N812" i="9"/>
  <c r="J812" i="9"/>
  <c r="N811" i="9"/>
  <c r="J811" i="9"/>
  <c r="N810" i="9"/>
  <c r="J810" i="9"/>
  <c r="N809" i="9"/>
  <c r="J809" i="9"/>
  <c r="J808" i="9"/>
  <c r="J807" i="9"/>
  <c r="J806" i="9"/>
  <c r="J805" i="9"/>
  <c r="N804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N784" i="9"/>
  <c r="J784" i="9"/>
  <c r="N783" i="9"/>
  <c r="J783" i="9"/>
  <c r="N782" i="9"/>
  <c r="J782" i="9"/>
  <c r="N781" i="9"/>
  <c r="J781" i="9"/>
  <c r="N780" i="9"/>
  <c r="J780" i="9"/>
  <c r="N779" i="9"/>
  <c r="J779" i="9"/>
  <c r="N778" i="9"/>
  <c r="J778" i="9"/>
  <c r="N777" i="9"/>
  <c r="J777" i="9"/>
  <c r="N776" i="9"/>
  <c r="J776" i="9"/>
  <c r="N775" i="9"/>
  <c r="J775" i="9"/>
  <c r="N774" i="9"/>
  <c r="J774" i="9"/>
  <c r="N773" i="9"/>
  <c r="J773" i="9"/>
  <c r="N772" i="9"/>
  <c r="J772" i="9"/>
  <c r="N771" i="9"/>
  <c r="J771" i="9"/>
  <c r="N770" i="9"/>
  <c r="J770" i="9"/>
  <c r="N769" i="9"/>
  <c r="J769" i="9"/>
  <c r="N768" i="9"/>
  <c r="J768" i="9"/>
  <c r="N767" i="9"/>
  <c r="J767" i="9"/>
  <c r="N766" i="9"/>
  <c r="J766" i="9"/>
  <c r="N765" i="9"/>
  <c r="J765" i="9"/>
  <c r="N764" i="9"/>
  <c r="J764" i="9"/>
  <c r="N763" i="9"/>
  <c r="J763" i="9"/>
  <c r="N762" i="9"/>
  <c r="J762" i="9"/>
  <c r="N761" i="9"/>
  <c r="J761" i="9"/>
  <c r="N760" i="9"/>
  <c r="J760" i="9"/>
  <c r="N759" i="9"/>
  <c r="J759" i="9"/>
  <c r="N758" i="9"/>
  <c r="J758" i="9"/>
  <c r="N757" i="9"/>
  <c r="J757" i="9"/>
  <c r="N756" i="9"/>
  <c r="J756" i="9"/>
  <c r="N755" i="9"/>
  <c r="J755" i="9"/>
  <c r="N754" i="9"/>
  <c r="J754" i="9"/>
  <c r="N753" i="9"/>
  <c r="J753" i="9"/>
  <c r="N752" i="9"/>
  <c r="J752" i="9"/>
  <c r="N751" i="9"/>
  <c r="J751" i="9"/>
  <c r="N750" i="9"/>
  <c r="J750" i="9"/>
  <c r="N749" i="9"/>
  <c r="J749" i="9"/>
  <c r="N748" i="9"/>
  <c r="J748" i="9"/>
  <c r="N747" i="9"/>
  <c r="J747" i="9"/>
  <c r="N746" i="9"/>
  <c r="J746" i="9"/>
  <c r="N745" i="9"/>
  <c r="J745" i="9"/>
  <c r="N744" i="9"/>
  <c r="J744" i="9"/>
  <c r="N743" i="9"/>
  <c r="J743" i="9"/>
  <c r="N742" i="9"/>
  <c r="J742" i="9"/>
  <c r="N741" i="9"/>
  <c r="J741" i="9"/>
  <c r="N740" i="9"/>
  <c r="J740" i="9"/>
  <c r="N739" i="9"/>
  <c r="J739" i="9"/>
  <c r="N738" i="9"/>
  <c r="J738" i="9"/>
  <c r="N737" i="9"/>
  <c r="J737" i="9"/>
  <c r="N736" i="9"/>
  <c r="J736" i="9"/>
  <c r="N735" i="9"/>
  <c r="J735" i="9"/>
  <c r="N734" i="9"/>
  <c r="J734" i="9"/>
  <c r="N733" i="9"/>
  <c r="J733" i="9"/>
  <c r="N732" i="9"/>
  <c r="J732" i="9"/>
  <c r="N731" i="9"/>
  <c r="J731" i="9"/>
  <c r="N730" i="9"/>
  <c r="J730" i="9"/>
  <c r="N729" i="9"/>
  <c r="J729" i="9"/>
  <c r="N728" i="9"/>
  <c r="J728" i="9"/>
  <c r="N727" i="9"/>
  <c r="J727" i="9"/>
  <c r="N726" i="9"/>
  <c r="J726" i="9"/>
  <c r="N725" i="9"/>
  <c r="J725" i="9"/>
  <c r="N724" i="9"/>
  <c r="J724" i="9"/>
  <c r="N723" i="9"/>
  <c r="J723" i="9"/>
  <c r="N722" i="9"/>
  <c r="J722" i="9"/>
  <c r="N721" i="9"/>
  <c r="J721" i="9"/>
  <c r="N720" i="9"/>
  <c r="J720" i="9"/>
  <c r="N719" i="9"/>
  <c r="J719" i="9"/>
  <c r="N718" i="9"/>
  <c r="J718" i="9"/>
  <c r="N717" i="9"/>
  <c r="J717" i="9"/>
  <c r="N716" i="9"/>
  <c r="J716" i="9"/>
  <c r="N715" i="9"/>
  <c r="J715" i="9"/>
  <c r="N714" i="9"/>
  <c r="J714" i="9"/>
  <c r="N713" i="9"/>
  <c r="J713" i="9"/>
  <c r="N712" i="9"/>
  <c r="J712" i="9"/>
  <c r="N711" i="9"/>
  <c r="J711" i="9"/>
  <c r="N710" i="9"/>
  <c r="J710" i="9"/>
  <c r="N709" i="9"/>
  <c r="J709" i="9"/>
  <c r="N708" i="9"/>
  <c r="J708" i="9"/>
  <c r="N707" i="9"/>
  <c r="J707" i="9"/>
  <c r="N706" i="9"/>
  <c r="J706" i="9"/>
  <c r="N705" i="9"/>
  <c r="J705" i="9"/>
  <c r="N704" i="9"/>
  <c r="J704" i="9"/>
  <c r="N703" i="9"/>
  <c r="J703" i="9"/>
  <c r="N702" i="9"/>
  <c r="J702" i="9"/>
  <c r="J701" i="9"/>
  <c r="J700" i="9"/>
  <c r="J699" i="9"/>
  <c r="J698" i="9"/>
  <c r="J697" i="9"/>
  <c r="J696" i="9"/>
  <c r="J695" i="9"/>
  <c r="J694" i="9"/>
  <c r="N693" i="9"/>
  <c r="J693" i="9"/>
  <c r="N692" i="9"/>
  <c r="J692" i="9"/>
  <c r="N691" i="9"/>
  <c r="J691" i="9"/>
  <c r="N690" i="9"/>
  <c r="J690" i="9"/>
  <c r="N689" i="9"/>
  <c r="J689" i="9"/>
  <c r="N688" i="9"/>
  <c r="J688" i="9"/>
  <c r="N687" i="9"/>
  <c r="J687" i="9"/>
  <c r="N686" i="9"/>
  <c r="J686" i="9"/>
  <c r="N685" i="9"/>
  <c r="J685" i="9"/>
  <c r="N684" i="9"/>
  <c r="J684" i="9"/>
  <c r="N683" i="9"/>
  <c r="J683" i="9"/>
  <c r="N682" i="9"/>
  <c r="J682" i="9"/>
  <c r="N681" i="9"/>
  <c r="J681" i="9"/>
  <c r="N680" i="9"/>
  <c r="J680" i="9"/>
  <c r="N679" i="9"/>
  <c r="J679" i="9"/>
  <c r="N678" i="9"/>
  <c r="J678" i="9"/>
  <c r="N677" i="9"/>
  <c r="J677" i="9"/>
  <c r="N676" i="9"/>
  <c r="J676" i="9"/>
  <c r="N675" i="9"/>
  <c r="J675" i="9"/>
  <c r="N674" i="9"/>
  <c r="J674" i="9"/>
  <c r="N673" i="9"/>
  <c r="J673" i="9"/>
  <c r="N672" i="9"/>
  <c r="J672" i="9"/>
  <c r="N671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N646" i="9"/>
  <c r="J646" i="9"/>
  <c r="N645" i="9"/>
  <c r="J645" i="9"/>
  <c r="N644" i="9"/>
  <c r="J644" i="9"/>
  <c r="N643" i="9"/>
  <c r="J643" i="9"/>
  <c r="N642" i="9"/>
  <c r="J642" i="9"/>
  <c r="N641" i="9"/>
  <c r="J641" i="9"/>
  <c r="N640" i="9"/>
  <c r="J640" i="9"/>
  <c r="N639" i="9"/>
  <c r="J639" i="9"/>
  <c r="J638" i="9"/>
  <c r="J637" i="9"/>
  <c r="J636" i="9"/>
  <c r="N635" i="9"/>
  <c r="J635" i="9"/>
  <c r="N634" i="9"/>
  <c r="J634" i="9"/>
  <c r="N633" i="9"/>
  <c r="J633" i="9"/>
  <c r="N632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N618" i="9"/>
  <c r="J618" i="9"/>
  <c r="N617" i="9"/>
  <c r="J617" i="9"/>
  <c r="J616" i="9"/>
  <c r="J615" i="9"/>
  <c r="J614" i="9"/>
  <c r="J613" i="9"/>
  <c r="J612" i="9"/>
  <c r="N611" i="9"/>
  <c r="J611" i="9"/>
  <c r="N610" i="9"/>
  <c r="J610" i="9"/>
  <c r="J609" i="9"/>
  <c r="J608" i="9"/>
  <c r="J607" i="9"/>
  <c r="J606" i="9"/>
  <c r="J605" i="9"/>
  <c r="J604" i="9"/>
  <c r="J603" i="9"/>
  <c r="N602" i="9"/>
  <c r="J602" i="9"/>
  <c r="N601" i="9"/>
  <c r="J601" i="9"/>
  <c r="J600" i="9"/>
  <c r="J599" i="9"/>
  <c r="J598" i="9"/>
  <c r="J597" i="9"/>
  <c r="J596" i="9"/>
  <c r="J595" i="9"/>
  <c r="J594" i="9"/>
  <c r="J593" i="9"/>
  <c r="J592" i="9"/>
  <c r="N591" i="9"/>
  <c r="J591" i="9"/>
  <c r="N590" i="9"/>
  <c r="J590" i="9"/>
  <c r="N589" i="9"/>
  <c r="J589" i="9"/>
  <c r="N588" i="9"/>
  <c r="J588" i="9"/>
  <c r="N587" i="9"/>
  <c r="J587" i="9"/>
  <c r="J586" i="9"/>
  <c r="N585" i="9"/>
  <c r="J585" i="9"/>
  <c r="N584" i="9"/>
  <c r="J584" i="9"/>
  <c r="N583" i="9"/>
  <c r="J583" i="9"/>
  <c r="N582" i="9"/>
  <c r="J582" i="9"/>
  <c r="N581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N568" i="9"/>
  <c r="J568" i="9"/>
  <c r="N567" i="9"/>
  <c r="J567" i="9"/>
  <c r="N566" i="9"/>
  <c r="J566" i="9"/>
  <c r="N565" i="9"/>
  <c r="J565" i="9"/>
  <c r="N564" i="9"/>
  <c r="J564" i="9"/>
  <c r="N563" i="9"/>
  <c r="J563" i="9"/>
  <c r="N562" i="9"/>
  <c r="J562" i="9"/>
  <c r="N561" i="9"/>
  <c r="J561" i="9"/>
  <c r="N560" i="9"/>
  <c r="J560" i="9"/>
  <c r="N559" i="9"/>
  <c r="J559" i="9"/>
  <c r="N558" i="9"/>
  <c r="J558" i="9"/>
  <c r="N557" i="9"/>
  <c r="J557" i="9"/>
  <c r="N556" i="9"/>
  <c r="J556" i="9"/>
  <c r="N555" i="9"/>
  <c r="J555" i="9"/>
  <c r="N554" i="9"/>
  <c r="J554" i="9"/>
  <c r="N553" i="9"/>
  <c r="J553" i="9"/>
  <c r="N552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N536" i="9"/>
  <c r="J536" i="9"/>
  <c r="N535" i="9"/>
  <c r="J535" i="9"/>
  <c r="J534" i="9"/>
  <c r="J533" i="9"/>
  <c r="N532" i="9"/>
  <c r="J532" i="9"/>
  <c r="N531" i="9"/>
  <c r="J531" i="9"/>
  <c r="N530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N509" i="9"/>
  <c r="J509" i="9"/>
  <c r="N508" i="9"/>
  <c r="J508" i="9"/>
  <c r="N507" i="9"/>
  <c r="J507" i="9"/>
  <c r="N506" i="9"/>
  <c r="J506" i="9"/>
  <c r="N505" i="9"/>
  <c r="J505" i="9"/>
  <c r="N504" i="9"/>
  <c r="J504" i="9"/>
  <c r="N503" i="9"/>
  <c r="J503" i="9"/>
  <c r="N502" i="9"/>
  <c r="J502" i="9"/>
  <c r="N501" i="9"/>
  <c r="J501" i="9"/>
  <c r="N500" i="9"/>
  <c r="J500" i="9"/>
  <c r="N499" i="9"/>
  <c r="J499" i="9"/>
  <c r="N498" i="9"/>
  <c r="J498" i="9"/>
  <c r="N497" i="9"/>
  <c r="J497" i="9"/>
  <c r="N496" i="9"/>
  <c r="J496" i="9"/>
  <c r="N495" i="9"/>
  <c r="J495" i="9"/>
  <c r="N494" i="9"/>
  <c r="J494" i="9"/>
  <c r="N493" i="9"/>
  <c r="J493" i="9"/>
  <c r="N492" i="9"/>
  <c r="J492" i="9"/>
  <c r="N491" i="9"/>
  <c r="J491" i="9"/>
  <c r="N490" i="9"/>
  <c r="J490" i="9"/>
  <c r="N489" i="9"/>
  <c r="J489" i="9"/>
  <c r="N488" i="9"/>
  <c r="J488" i="9"/>
  <c r="N487" i="9"/>
  <c r="J487" i="9"/>
  <c r="N486" i="9"/>
  <c r="J486" i="9"/>
  <c r="N485" i="9"/>
  <c r="J485" i="9"/>
  <c r="N484" i="9"/>
  <c r="J484" i="9"/>
  <c r="N483" i="9"/>
  <c r="J483" i="9"/>
  <c r="N482" i="9"/>
  <c r="J482" i="9"/>
  <c r="N481" i="9"/>
  <c r="J481" i="9"/>
  <c r="N480" i="9"/>
  <c r="J480" i="9"/>
  <c r="N479" i="9"/>
  <c r="J479" i="9"/>
  <c r="N478" i="9"/>
  <c r="J478" i="9"/>
  <c r="N477" i="9"/>
  <c r="J477" i="9"/>
  <c r="N476" i="9"/>
  <c r="J476" i="9"/>
  <c r="N475" i="9"/>
  <c r="J475" i="9"/>
  <c r="N474" i="9"/>
  <c r="J474" i="9"/>
  <c r="N473" i="9"/>
  <c r="J473" i="9"/>
  <c r="N472" i="9"/>
  <c r="J472" i="9"/>
  <c r="N471" i="9"/>
  <c r="J471" i="9"/>
  <c r="J470" i="9"/>
  <c r="N469" i="9"/>
  <c r="J469" i="9"/>
  <c r="N468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N444" i="9"/>
  <c r="J444" i="9"/>
  <c r="N443" i="9"/>
  <c r="J443" i="9"/>
  <c r="N442" i="9"/>
  <c r="J442" i="9"/>
  <c r="N441" i="9"/>
  <c r="J441" i="9"/>
  <c r="N440" i="9"/>
  <c r="J440" i="9"/>
  <c r="N439" i="9"/>
  <c r="J439" i="9"/>
  <c r="N438" i="9"/>
  <c r="J438" i="9"/>
  <c r="N437" i="9"/>
  <c r="J437" i="9"/>
  <c r="N436" i="9"/>
  <c r="J436" i="9"/>
  <c r="N435" i="9"/>
  <c r="J435" i="9"/>
  <c r="N434" i="9"/>
  <c r="J434" i="9"/>
  <c r="N433" i="9"/>
  <c r="J433" i="9"/>
  <c r="N432" i="9"/>
  <c r="J432" i="9"/>
  <c r="N431" i="9"/>
  <c r="J431" i="9"/>
  <c r="N430" i="9"/>
  <c r="J430" i="9"/>
  <c r="N429" i="9"/>
  <c r="J429" i="9"/>
  <c r="N428" i="9"/>
  <c r="J428" i="9"/>
  <c r="N427" i="9"/>
  <c r="J427" i="9"/>
  <c r="N426" i="9"/>
  <c r="J426" i="9"/>
  <c r="N425" i="9"/>
  <c r="J425" i="9"/>
  <c r="N424" i="9"/>
  <c r="J424" i="9"/>
  <c r="N423" i="9"/>
  <c r="J423" i="9"/>
  <c r="N422" i="9"/>
  <c r="J422" i="9"/>
  <c r="J421" i="9"/>
  <c r="J420" i="9"/>
  <c r="J419" i="9"/>
  <c r="J418" i="9"/>
  <c r="J417" i="9"/>
  <c r="J416" i="9"/>
  <c r="J415" i="9"/>
  <c r="N414" i="9"/>
  <c r="J414" i="9"/>
  <c r="N413" i="9"/>
  <c r="J413" i="9"/>
  <c r="N412" i="9"/>
  <c r="J412" i="9"/>
  <c r="N411" i="9"/>
  <c r="J411" i="9"/>
  <c r="N410" i="9"/>
  <c r="J410" i="9"/>
  <c r="N409" i="9"/>
  <c r="J409" i="9"/>
  <c r="N408" i="9"/>
  <c r="J408" i="9"/>
  <c r="N407" i="9"/>
  <c r="J407" i="9"/>
  <c r="N406" i="9"/>
  <c r="J406" i="9"/>
  <c r="N405" i="9"/>
  <c r="J405" i="9"/>
  <c r="J404" i="9"/>
  <c r="J403" i="9"/>
  <c r="N402" i="9"/>
  <c r="J402" i="9"/>
  <c r="N401" i="9"/>
  <c r="J401" i="9"/>
  <c r="N400" i="9"/>
  <c r="J400" i="9"/>
  <c r="J399" i="9"/>
  <c r="J398" i="9"/>
  <c r="N397" i="9"/>
  <c r="J397" i="9"/>
  <c r="N396" i="9"/>
  <c r="J396" i="9"/>
  <c r="N395" i="9"/>
  <c r="J395" i="9"/>
  <c r="J394" i="9"/>
  <c r="J393" i="9"/>
  <c r="N392" i="9"/>
  <c r="J392" i="9"/>
  <c r="N391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N371" i="9"/>
  <c r="J371" i="9"/>
  <c r="N370" i="9"/>
  <c r="J370" i="9"/>
  <c r="N369" i="9"/>
  <c r="J369" i="9"/>
  <c r="N368" i="9"/>
  <c r="J368" i="9"/>
  <c r="N367" i="9"/>
  <c r="J367" i="9"/>
  <c r="N366" i="9"/>
  <c r="J366" i="9"/>
  <c r="N365" i="9"/>
  <c r="J365" i="9"/>
  <c r="N364" i="9"/>
  <c r="J364" i="9"/>
  <c r="N363" i="9"/>
  <c r="J363" i="9"/>
  <c r="N362" i="9"/>
  <c r="J362" i="9"/>
  <c r="N361" i="9"/>
  <c r="J361" i="9"/>
  <c r="N360" i="9"/>
  <c r="J360" i="9"/>
  <c r="N359" i="9"/>
  <c r="J359" i="9"/>
  <c r="N358" i="9"/>
  <c r="J358" i="9"/>
  <c r="N357" i="9"/>
  <c r="J357" i="9"/>
  <c r="N356" i="9"/>
  <c r="J356" i="9"/>
  <c r="N355" i="9"/>
  <c r="J355" i="9"/>
  <c r="N354" i="9"/>
  <c r="J354" i="9"/>
  <c r="N353" i="9"/>
  <c r="J353" i="9"/>
  <c r="N352" i="9"/>
  <c r="J352" i="9"/>
  <c r="N351" i="9"/>
  <c r="J351" i="9"/>
  <c r="N350" i="9"/>
  <c r="J350" i="9"/>
  <c r="N349" i="9"/>
  <c r="J349" i="9"/>
  <c r="N348" i="9"/>
  <c r="J348" i="9"/>
  <c r="N347" i="9"/>
  <c r="J347" i="9"/>
  <c r="N346" i="9"/>
  <c r="J346" i="9"/>
  <c r="J345" i="9"/>
  <c r="J344" i="9"/>
  <c r="N343" i="9"/>
  <c r="J343" i="9"/>
  <c r="N342" i="9"/>
  <c r="J342" i="9"/>
  <c r="N341" i="9"/>
  <c r="J341" i="9"/>
  <c r="J340" i="9"/>
  <c r="J339" i="9"/>
  <c r="N338" i="9"/>
  <c r="J338" i="9"/>
  <c r="J337" i="9"/>
  <c r="J336" i="9"/>
  <c r="N335" i="9"/>
  <c r="J335" i="9"/>
  <c r="N334" i="9"/>
  <c r="J334" i="9"/>
  <c r="N333" i="9"/>
  <c r="J333" i="9"/>
  <c r="J332" i="9"/>
  <c r="J331" i="9"/>
  <c r="N330" i="9"/>
  <c r="J330" i="9"/>
  <c r="N329" i="9"/>
  <c r="J329" i="9"/>
  <c r="N328" i="9"/>
  <c r="J328" i="9"/>
  <c r="J327" i="9"/>
  <c r="J326" i="9"/>
  <c r="N325" i="9"/>
  <c r="J325" i="9"/>
  <c r="N324" i="9"/>
  <c r="J324" i="9"/>
  <c r="J323" i="9"/>
  <c r="J322" i="9"/>
  <c r="N321" i="9"/>
  <c r="J321" i="9"/>
  <c r="N320" i="9"/>
  <c r="J320" i="9"/>
  <c r="N319" i="9"/>
  <c r="J319" i="9"/>
  <c r="J318" i="9"/>
  <c r="J317" i="9"/>
  <c r="N316" i="9"/>
  <c r="J316" i="9"/>
  <c r="N315" i="9"/>
  <c r="J315" i="9"/>
  <c r="N314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N273" i="9"/>
  <c r="J273" i="9"/>
  <c r="J272" i="9"/>
  <c r="J271" i="9"/>
  <c r="N270" i="9"/>
  <c r="J270" i="9"/>
  <c r="J269" i="9"/>
  <c r="N268" i="9"/>
  <c r="J268" i="9"/>
  <c r="N267" i="9"/>
  <c r="J267" i="9"/>
  <c r="N266" i="9"/>
  <c r="J266" i="9"/>
  <c r="N265" i="9"/>
  <c r="J265" i="9"/>
  <c r="N264" i="9"/>
  <c r="J264" i="9"/>
  <c r="N263" i="9"/>
  <c r="J263" i="9"/>
  <c r="N262" i="9"/>
  <c r="J262" i="9"/>
  <c r="N261" i="9"/>
  <c r="J261" i="9"/>
  <c r="N260" i="9"/>
  <c r="J260" i="9"/>
  <c r="N259" i="9"/>
  <c r="J259" i="9"/>
  <c r="N258" i="9"/>
  <c r="J258" i="9"/>
  <c r="N257" i="9"/>
  <c r="J257" i="9"/>
  <c r="N256" i="9"/>
  <c r="J256" i="9"/>
  <c r="N255" i="9"/>
  <c r="J255" i="9"/>
  <c r="N254" i="9"/>
  <c r="J254" i="9"/>
  <c r="N253" i="9"/>
  <c r="J253" i="9"/>
  <c r="N252" i="9"/>
  <c r="J252" i="9"/>
  <c r="N251" i="9"/>
  <c r="J251" i="9"/>
  <c r="N250" i="9"/>
  <c r="J250" i="9"/>
  <c r="N249" i="9"/>
  <c r="J249" i="9"/>
  <c r="N248" i="9"/>
  <c r="J248" i="9"/>
  <c r="N247" i="9"/>
  <c r="J247" i="9"/>
  <c r="N246" i="9"/>
  <c r="J246" i="9"/>
  <c r="N245" i="9"/>
  <c r="J245" i="9"/>
  <c r="N244" i="9"/>
  <c r="J244" i="9"/>
  <c r="N243" i="9"/>
  <c r="J243" i="9"/>
  <c r="N242" i="9"/>
  <c r="J242" i="9"/>
  <c r="N241" i="9"/>
  <c r="J241" i="9"/>
  <c r="N240" i="9"/>
  <c r="J240" i="9"/>
  <c r="N239" i="9"/>
  <c r="J239" i="9"/>
  <c r="N238" i="9"/>
  <c r="J238" i="9"/>
  <c r="N237" i="9"/>
  <c r="J237" i="9"/>
  <c r="N236" i="9"/>
  <c r="J236" i="9"/>
  <c r="N235" i="9"/>
  <c r="J235" i="9"/>
  <c r="N234" i="9"/>
  <c r="J234" i="9"/>
  <c r="N233" i="9"/>
  <c r="J233" i="9"/>
  <c r="N232" i="9"/>
  <c r="J232" i="9"/>
  <c r="N231" i="9"/>
  <c r="J231" i="9"/>
  <c r="N230" i="9"/>
  <c r="J230" i="9"/>
  <c r="N229" i="9"/>
  <c r="J229" i="9"/>
  <c r="N228" i="9"/>
  <c r="J228" i="9"/>
  <c r="N227" i="9"/>
  <c r="J227" i="9"/>
  <c r="N226" i="9"/>
  <c r="J226" i="9"/>
  <c r="N225" i="9"/>
  <c r="J225" i="9"/>
  <c r="N224" i="9"/>
  <c r="J224" i="9"/>
  <c r="N223" i="9"/>
  <c r="J223" i="9"/>
  <c r="N222" i="9"/>
  <c r="J222" i="9"/>
  <c r="N221" i="9"/>
  <c r="J221" i="9"/>
  <c r="N220" i="9"/>
  <c r="J220" i="9"/>
  <c r="N219" i="9"/>
  <c r="J219" i="9"/>
  <c r="N218" i="9"/>
  <c r="J218" i="9"/>
  <c r="N217" i="9"/>
  <c r="J217" i="9"/>
  <c r="N216" i="9"/>
  <c r="J216" i="9"/>
  <c r="N215" i="9"/>
  <c r="J215" i="9"/>
  <c r="N214" i="9"/>
  <c r="J214" i="9"/>
  <c r="N213" i="9"/>
  <c r="J213" i="9"/>
  <c r="N212" i="9"/>
  <c r="J212" i="9"/>
  <c r="N211" i="9"/>
  <c r="J211" i="9"/>
  <c r="N210" i="9"/>
  <c r="J210" i="9"/>
  <c r="N209" i="9"/>
  <c r="J209" i="9"/>
  <c r="N208" i="9"/>
  <c r="J208" i="9"/>
  <c r="N207" i="9"/>
  <c r="J207" i="9"/>
  <c r="N206" i="9"/>
  <c r="J206" i="9"/>
  <c r="N205" i="9"/>
  <c r="J205" i="9"/>
  <c r="N204" i="9"/>
  <c r="J204" i="9"/>
  <c r="N203" i="9"/>
  <c r="J203" i="9"/>
  <c r="N202" i="9"/>
  <c r="J202" i="9"/>
  <c r="N201" i="9"/>
  <c r="J201" i="9"/>
  <c r="N200" i="9"/>
  <c r="J200" i="9"/>
  <c r="N199" i="9"/>
  <c r="J199" i="9"/>
  <c r="N198" i="9"/>
  <c r="J198" i="9"/>
  <c r="N197" i="9"/>
  <c r="J197" i="9"/>
  <c r="N196" i="9"/>
  <c r="J196" i="9"/>
  <c r="N195" i="9"/>
  <c r="J195" i="9"/>
  <c r="N194" i="9"/>
  <c r="J194" i="9"/>
  <c r="N193" i="9"/>
  <c r="J193" i="9"/>
  <c r="N192" i="9"/>
  <c r="J192" i="9"/>
  <c r="N191" i="9"/>
  <c r="J191" i="9"/>
  <c r="N190" i="9"/>
  <c r="J190" i="9"/>
  <c r="N189" i="9"/>
  <c r="J189" i="9"/>
  <c r="N188" i="9"/>
  <c r="J188" i="9"/>
  <c r="J187" i="9"/>
  <c r="J186" i="9"/>
  <c r="N185" i="9"/>
  <c r="J185" i="9"/>
  <c r="N184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N167" i="9"/>
  <c r="J167" i="9"/>
  <c r="N166" i="9"/>
  <c r="J166" i="9"/>
  <c r="N165" i="9"/>
  <c r="J165" i="9"/>
  <c r="N164" i="9"/>
  <c r="J164" i="9"/>
  <c r="N163" i="9"/>
  <c r="J163" i="9"/>
  <c r="N162" i="9"/>
  <c r="J162" i="9"/>
  <c r="N161" i="9"/>
  <c r="J161" i="9"/>
  <c r="N160" i="9"/>
  <c r="J160" i="9"/>
  <c r="N159" i="9"/>
  <c r="J159" i="9"/>
  <c r="N158" i="9"/>
  <c r="J158" i="9"/>
  <c r="N157" i="9"/>
  <c r="J157" i="9"/>
  <c r="N156" i="9"/>
  <c r="J156" i="9"/>
  <c r="J155" i="9"/>
  <c r="J154" i="9"/>
  <c r="N153" i="9"/>
  <c r="J153" i="9"/>
  <c r="N152" i="9"/>
  <c r="J152" i="9"/>
  <c r="N151" i="9"/>
  <c r="J151" i="9"/>
  <c r="N150" i="9"/>
  <c r="J150" i="9"/>
  <c r="N149" i="9"/>
  <c r="J149" i="9"/>
  <c r="J148" i="9"/>
  <c r="J147" i="9"/>
  <c r="J146" i="9"/>
  <c r="J145" i="9"/>
  <c r="J144" i="9"/>
  <c r="J143" i="9"/>
  <c r="N142" i="9"/>
  <c r="J142" i="9"/>
  <c r="N141" i="9"/>
  <c r="J141" i="9"/>
  <c r="N140" i="9"/>
  <c r="J140" i="9"/>
  <c r="N139" i="9"/>
  <c r="J139" i="9"/>
  <c r="N138" i="9"/>
  <c r="J138" i="9"/>
  <c r="N137" i="9"/>
  <c r="J137" i="9"/>
  <c r="J136" i="9"/>
  <c r="J135" i="9"/>
  <c r="J134" i="9"/>
  <c r="J133" i="9"/>
  <c r="J132" i="9"/>
  <c r="J131" i="9"/>
  <c r="J130" i="9"/>
  <c r="N129" i="9"/>
  <c r="J129" i="9"/>
  <c r="J128" i="9"/>
  <c r="N127" i="9"/>
  <c r="J127" i="9"/>
  <c r="N126" i="9"/>
  <c r="J126" i="9"/>
  <c r="N125" i="9"/>
  <c r="J125" i="9"/>
  <c r="N124" i="9"/>
  <c r="J124" i="9"/>
  <c r="N123" i="9"/>
  <c r="J123" i="9"/>
  <c r="N122" i="9"/>
  <c r="J122" i="9"/>
  <c r="N121" i="9"/>
  <c r="J121" i="9"/>
  <c r="N120" i="9"/>
  <c r="J120" i="9"/>
  <c r="N119" i="9"/>
  <c r="J119" i="9"/>
  <c r="N118" i="9"/>
  <c r="J118" i="9"/>
  <c r="N117" i="9"/>
  <c r="J117" i="9"/>
  <c r="J116" i="9"/>
  <c r="N115" i="9"/>
  <c r="J115" i="9"/>
  <c r="N114" i="9"/>
  <c r="J114" i="9"/>
  <c r="N113" i="9"/>
  <c r="J113" i="9"/>
  <c r="N112" i="9"/>
  <c r="J112" i="9"/>
  <c r="N111" i="9"/>
  <c r="J111" i="9"/>
  <c r="N110" i="9"/>
  <c r="J110" i="9"/>
  <c r="N109" i="9"/>
  <c r="J109" i="9"/>
  <c r="N108" i="9"/>
  <c r="J108" i="9"/>
  <c r="N107" i="9"/>
  <c r="J107" i="9"/>
  <c r="N106" i="9"/>
  <c r="J106" i="9"/>
  <c r="N105" i="9"/>
  <c r="J105" i="9"/>
  <c r="N104" i="9"/>
  <c r="J104" i="9"/>
  <c r="N103" i="9"/>
  <c r="J103" i="9"/>
  <c r="N102" i="9"/>
  <c r="J102" i="9"/>
  <c r="N101" i="9"/>
  <c r="J101" i="9"/>
  <c r="N100" i="9"/>
  <c r="J100" i="9"/>
  <c r="N99" i="9"/>
  <c r="J99" i="9"/>
  <c r="N98" i="9"/>
  <c r="J98" i="9"/>
  <c r="N97" i="9"/>
  <c r="J97" i="9"/>
  <c r="N96" i="9"/>
  <c r="J96" i="9"/>
  <c r="N95" i="9"/>
  <c r="J95" i="9"/>
  <c r="J94" i="9"/>
  <c r="J93" i="9"/>
  <c r="J92" i="9"/>
  <c r="N91" i="9"/>
  <c r="J91" i="9"/>
  <c r="N90" i="9"/>
  <c r="J90" i="9"/>
  <c r="N89" i="9"/>
  <c r="J89" i="9"/>
  <c r="N88" i="9"/>
  <c r="J88" i="9"/>
  <c r="N87" i="9"/>
  <c r="J87" i="9"/>
  <c r="N86" i="9"/>
  <c r="J86" i="9"/>
  <c r="J85" i="9"/>
  <c r="J84" i="9"/>
  <c r="N83" i="9"/>
  <c r="J83" i="9"/>
  <c r="N82" i="9"/>
  <c r="J82" i="9"/>
  <c r="J81" i="9"/>
  <c r="N80" i="9"/>
  <c r="J80" i="9"/>
  <c r="N79" i="9"/>
  <c r="J79" i="9"/>
  <c r="N78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N51" i="9"/>
  <c r="J51" i="9"/>
  <c r="N50" i="9"/>
  <c r="J50" i="9"/>
  <c r="N49" i="9"/>
  <c r="J49" i="9"/>
  <c r="N48" i="9"/>
  <c r="J48" i="9"/>
  <c r="N47" i="9"/>
  <c r="J47" i="9"/>
  <c r="N46" i="9"/>
  <c r="J46" i="9"/>
  <c r="N45" i="9"/>
  <c r="J45" i="9"/>
  <c r="N44" i="9"/>
  <c r="J44" i="9"/>
  <c r="N43" i="9"/>
  <c r="J43" i="9"/>
  <c r="N42" i="9"/>
  <c r="J42" i="9"/>
  <c r="N41" i="9"/>
  <c r="J41" i="9"/>
  <c r="J40" i="9"/>
  <c r="N39" i="9"/>
  <c r="J39" i="9"/>
  <c r="N38" i="9"/>
  <c r="J38" i="9"/>
  <c r="N37" i="9"/>
  <c r="J37" i="9"/>
  <c r="N36" i="9"/>
  <c r="J36" i="9"/>
  <c r="N35" i="9"/>
  <c r="J35" i="9"/>
  <c r="N34" i="9"/>
  <c r="J34" i="9"/>
  <c r="N33" i="9"/>
  <c r="J33" i="9"/>
  <c r="J32" i="9"/>
  <c r="N31" i="9"/>
  <c r="J31" i="9"/>
  <c r="N30" i="9"/>
  <c r="J30" i="9"/>
  <c r="N29" i="9"/>
  <c r="J29" i="9"/>
  <c r="N28" i="9"/>
  <c r="J28" i="9"/>
  <c r="N27" i="9"/>
  <c r="J27" i="9"/>
  <c r="N26" i="9"/>
  <c r="J26" i="9"/>
  <c r="N25" i="9"/>
  <c r="J25" i="9"/>
  <c r="N24" i="9"/>
  <c r="J24" i="9"/>
  <c r="J23" i="9"/>
  <c r="J22" i="9"/>
  <c r="N21" i="9"/>
  <c r="J21" i="9"/>
  <c r="N20" i="9"/>
  <c r="J20" i="9"/>
  <c r="N19" i="9"/>
  <c r="J19" i="9"/>
  <c r="N18" i="9"/>
  <c r="J18" i="9"/>
  <c r="J17" i="9"/>
  <c r="J16" i="9"/>
  <c r="N15" i="9"/>
  <c r="J15" i="9"/>
  <c r="N14" i="9"/>
  <c r="J14" i="9"/>
  <c r="N13" i="9"/>
  <c r="J13" i="9"/>
  <c r="N12" i="9"/>
  <c r="J12" i="9"/>
  <c r="N11" i="9"/>
  <c r="J11" i="9"/>
  <c r="N10" i="9"/>
  <c r="J10" i="9"/>
  <c r="N9" i="9"/>
  <c r="J9" i="9"/>
  <c r="N8" i="9"/>
  <c r="J8" i="9"/>
  <c r="N7" i="9"/>
  <c r="J7" i="9"/>
  <c r="N6" i="9"/>
  <c r="J6" i="9"/>
  <c r="N5" i="9"/>
  <c r="J5" i="9"/>
  <c r="N4" i="9"/>
  <c r="J4" i="9"/>
  <c r="J3" i="9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5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2" i="3"/>
  <c r="H991" i="3"/>
  <c r="H990" i="3"/>
  <c r="H989" i="3"/>
  <c r="H988" i="3"/>
  <c r="H987" i="3"/>
  <c r="H986" i="3"/>
  <c r="H984" i="3"/>
  <c r="H979" i="3"/>
  <c r="H978" i="3"/>
  <c r="H977" i="3"/>
  <c r="H976" i="3"/>
  <c r="H972" i="3"/>
  <c r="H971" i="3"/>
  <c r="H970" i="3"/>
  <c r="H969" i="3"/>
  <c r="H968" i="3"/>
  <c r="H967" i="3"/>
  <c r="H964" i="3"/>
  <c r="H963" i="3"/>
  <c r="H962" i="3"/>
  <c r="H961" i="3"/>
  <c r="H960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38" i="3"/>
  <c r="H937" i="3"/>
  <c r="H936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7" i="3"/>
  <c r="H856" i="3"/>
  <c r="H855" i="3"/>
  <c r="H854" i="3"/>
  <c r="H853" i="3"/>
  <c r="H852" i="3"/>
  <c r="H851" i="3"/>
  <c r="H849" i="3"/>
  <c r="H848" i="3"/>
  <c r="H847" i="3"/>
  <c r="H846" i="3"/>
  <c r="H845" i="3"/>
  <c r="H844" i="3"/>
  <c r="H841" i="3"/>
  <c r="H840" i="3"/>
  <c r="H839" i="3"/>
  <c r="H836" i="3"/>
  <c r="H835" i="3"/>
  <c r="H834" i="3"/>
  <c r="H833" i="3"/>
  <c r="H828" i="3"/>
  <c r="H827" i="3"/>
  <c r="H826" i="3"/>
  <c r="H824" i="3"/>
  <c r="H823" i="3"/>
  <c r="H821" i="3"/>
  <c r="H820" i="3"/>
  <c r="H818" i="3"/>
  <c r="H817" i="3"/>
  <c r="H816" i="3"/>
  <c r="H815" i="3"/>
  <c r="H814" i="3"/>
  <c r="H812" i="3"/>
  <c r="H811" i="3"/>
  <c r="H810" i="3"/>
  <c r="H809" i="3"/>
  <c r="H808" i="3"/>
  <c r="H807" i="3"/>
  <c r="H806" i="3"/>
  <c r="H805" i="3"/>
  <c r="H804" i="3"/>
  <c r="H803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3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1097" i="3"/>
  <c r="H1096" i="3"/>
  <c r="H1094" i="3"/>
  <c r="H1078" i="3"/>
  <c r="H1077" i="3"/>
  <c r="H1076" i="3"/>
  <c r="H1075" i="3"/>
  <c r="H994" i="3"/>
  <c r="H993" i="3"/>
  <c r="H985" i="3"/>
  <c r="H983" i="3"/>
  <c r="H982" i="3"/>
  <c r="H981" i="3"/>
  <c r="H980" i="3"/>
  <c r="H975" i="3"/>
  <c r="H974" i="3"/>
  <c r="H973" i="3"/>
  <c r="H966" i="3"/>
  <c r="H965" i="3"/>
  <c r="H959" i="3"/>
  <c r="H940" i="3"/>
  <c r="H939" i="3"/>
  <c r="H935" i="3"/>
  <c r="H934" i="3"/>
  <c r="H933" i="3"/>
  <c r="H873" i="3"/>
  <c r="H859" i="3"/>
  <c r="H858" i="3"/>
  <c r="H850" i="3"/>
  <c r="H843" i="3"/>
  <c r="H842" i="3"/>
  <c r="H838" i="3"/>
  <c r="H837" i="3"/>
  <c r="H832" i="3"/>
  <c r="H831" i="3"/>
  <c r="H830" i="3"/>
  <c r="H829" i="3"/>
  <c r="H825" i="3"/>
  <c r="H822" i="3"/>
  <c r="H819" i="3"/>
  <c r="H813" i="3"/>
  <c r="H802" i="3"/>
  <c r="H641" i="3"/>
  <c r="H640" i="3"/>
  <c r="H639" i="3"/>
  <c r="H638" i="3"/>
  <c r="H637" i="3"/>
  <c r="H469" i="3"/>
  <c r="H468" i="3"/>
  <c r="H467" i="3"/>
  <c r="H360" i="3"/>
  <c r="H359" i="3"/>
  <c r="H358" i="3"/>
  <c r="H214" i="3"/>
  <c r="H213" i="3"/>
  <c r="H100" i="3"/>
  <c r="H69" i="3"/>
  <c r="H68" i="3"/>
  <c r="H67" i="3"/>
  <c r="H66" i="3"/>
  <c r="H65" i="3"/>
  <c r="H64" i="3"/>
  <c r="H62" i="3"/>
  <c r="H21" i="3"/>
  <c r="H2" i="3"/>
</calcChain>
</file>

<file path=xl/sharedStrings.xml><?xml version="1.0" encoding="utf-8"?>
<sst xmlns="http://schemas.openxmlformats.org/spreadsheetml/2006/main" count="9675" uniqueCount="2144">
  <si>
    <t>ARTICLE</t>
  </si>
  <si>
    <t>DESCRIPTION</t>
  </si>
  <si>
    <t>BRAND</t>
  </si>
  <si>
    <t>MC</t>
  </si>
  <si>
    <t>Status</t>
  </si>
  <si>
    <t>CVR</t>
  </si>
  <si>
    <t>RIT (007 008 BS)</t>
  </si>
  <si>
    <t>Online (009)</t>
  </si>
  <si>
    <t>RDL</t>
  </si>
  <si>
    <t>Total Stock</t>
  </si>
  <si>
    <t>RETAIL</t>
  </si>
  <si>
    <t>BOTTLE ICE FLY 500ML, L</t>
  </si>
  <si>
    <t>ELITE</t>
  </si>
  <si>
    <t>Bottle</t>
  </si>
  <si>
    <t>BP</t>
  </si>
  <si>
    <t>BOTTLE ICE FLY COCA COLA 500ML, R</t>
  </si>
  <si>
    <t>BOTTLE FLY S BORDEAUX 750ML, R</t>
  </si>
  <si>
    <t>BOTTLE FLY MTB T 750ML, AE</t>
  </si>
  <si>
    <t>BOTTLE FLY MTB T 950ML, AE</t>
  </si>
  <si>
    <t>BOTTLE ICE FLY 650ML, E</t>
  </si>
  <si>
    <t>BOTTLE FLY T CERVELO 750ML, L</t>
  </si>
  <si>
    <t>BOTTLE FLY T MOVISTAR 750ML, L</t>
  </si>
  <si>
    <t>BOTTLE FLY T TDF WHITE 750ML, W</t>
  </si>
  <si>
    <t>BOTTLE FLY U GRENADIER 750ML, W</t>
  </si>
  <si>
    <t>BOTTLE BYASI LIFELINE, 550 ML, B</t>
  </si>
  <si>
    <t>BOTTLE FLY UAE TEAM EMIRATES, 750 ML, R</t>
  </si>
  <si>
    <t>BOTTLE FLY TEAM DSM, 750 ML, B</t>
  </si>
  <si>
    <t>JERSEY MTB LONG FREELINE SF1, M, LE</t>
  </si>
  <si>
    <t>MD RODALINK</t>
  </si>
  <si>
    <t>Jersey</t>
  </si>
  <si>
    <t>JERSEY MTB LONG FREELINE SF1, L1, LE</t>
  </si>
  <si>
    <t>JERSEY MTB LONG FREELINE SF1, L2, LE</t>
  </si>
  <si>
    <t>JERSEY MTB LONG FREELINE SF1, L3, LE</t>
  </si>
  <si>
    <t>JERSEY MTB LONG FREELINE SF1, L4, LE</t>
  </si>
  <si>
    <t>JERSEY MTB LONG FREELINE SF1, M, G</t>
  </si>
  <si>
    <t>JERSEY MTB LONG FREELINE SF1, L1, G</t>
  </si>
  <si>
    <t>JERSEY MTB LONG FREELINE SF1, L2, G</t>
  </si>
  <si>
    <t>JERSEY MTB LONG FREELINE SF1, L3, G</t>
  </si>
  <si>
    <t>JERSEY MTB LONG FREELINE SF1, L4, G</t>
  </si>
  <si>
    <t>JERSEY MTB LONG FREELINE SF1, L1, EB</t>
  </si>
  <si>
    <t>JERSEY MTB LONG FREELINE SF1, L2, EB</t>
  </si>
  <si>
    <t>JERSEY MTB LONG FREELINE SF1, L3, EB</t>
  </si>
  <si>
    <t>JERSEY MTB LONG FREELINE SF1, L4, EB</t>
  </si>
  <si>
    <t>JERSEY MTB LONG FREELINE SF1, M, BR</t>
  </si>
  <si>
    <t>JERSEY MTB LONG FREELINE SF1, L1, BR</t>
  </si>
  <si>
    <t>JERSEY MTB LONG FREELINE SF1, L2, BR</t>
  </si>
  <si>
    <t>JERSEY MTB LONG FREELINE SF1, L3, BR</t>
  </si>
  <si>
    <t>JERSEY MTB LONG FREELINE SF1, L4, BR</t>
  </si>
  <si>
    <t>JERSEY MTB LONG FREELINE SF1, L1, WL</t>
  </si>
  <si>
    <t>JERSEY MTB LONG FREELINE SF1, L2, WL</t>
  </si>
  <si>
    <t>JERSEY MTB LONG FREELINE SF1, L3, WL</t>
  </si>
  <si>
    <t>JERSEY MTB LONG FREELINE SF1, L4, WL</t>
  </si>
  <si>
    <t>CARGO PADDING FREELINE, M, BB</t>
  </si>
  <si>
    <t>Short/Pants</t>
  </si>
  <si>
    <t>CARGO PADDING FREELINE, L2, BB</t>
  </si>
  <si>
    <t>CARGO PADDING FREELINE, M, BE</t>
  </si>
  <si>
    <t>CARGO PADDING FREELINE, L1, BE</t>
  </si>
  <si>
    <t>CARGO PADDING FREELINE, L2, BE</t>
  </si>
  <si>
    <t>CARGO PADDING FREELINE, L3, BE</t>
  </si>
  <si>
    <t>CARGO PADDING FREELINE, M, BG</t>
  </si>
  <si>
    <t>CARGO PADDING FREELINE, L1, BG</t>
  </si>
  <si>
    <t>CARGO PADDING FREELINE, L2, BG</t>
  </si>
  <si>
    <t>HELMET AIRBREAKER, L1, RB</t>
  </si>
  <si>
    <t>ABUS</t>
  </si>
  <si>
    <t>Helmet</t>
  </si>
  <si>
    <t>HELMET AIRBREAKER, L1, SB</t>
  </si>
  <si>
    <t>HELMET AIRBREAKER, L1, WB</t>
  </si>
  <si>
    <t>HELMET AIRBREAKER, L1, 3LB</t>
  </si>
  <si>
    <t>HELMET AIRBREAKER, L1, 3BB</t>
  </si>
  <si>
    <t>HELMET AIRBREAKER, M, RB</t>
  </si>
  <si>
    <t>HELMET AIRBREAKER, M, 3LB</t>
  </si>
  <si>
    <t>HELMET AIRBREAKER, M, 3BB</t>
  </si>
  <si>
    <t>HELMET AIRBREAKER, M, P</t>
  </si>
  <si>
    <t>HELMET AIRBREAKER, L1, P</t>
  </si>
  <si>
    <t>HELMET AIRBREAKER, M, BD</t>
  </si>
  <si>
    <t>HELMET AIRBREAKER, L1, BD</t>
  </si>
  <si>
    <t>HELMET AIRBREAKER, L1, 6BB</t>
  </si>
  <si>
    <t>HELMET AIRBREAKER, M, 1E</t>
  </si>
  <si>
    <t>HELMET AIRBREAKER, L1, 1E</t>
  </si>
  <si>
    <t>HELMET AIRBREAKER, L1, Z</t>
  </si>
  <si>
    <t>HELMET AIRBREAKER, M, BR</t>
  </si>
  <si>
    <t>HELMET AIRBREAKER, L1, BR</t>
  </si>
  <si>
    <t>HELMET AIRBREAKER, M, 1D</t>
  </si>
  <si>
    <t>HELMET AIRBREAKER, L1, 1D</t>
  </si>
  <si>
    <t>HELMET GAMECHANGER TT, M, 1D</t>
  </si>
  <si>
    <t>HELMET GAMECHANGER TT, L1, 1D</t>
  </si>
  <si>
    <t>HELMET GAMECHANGER TT, M, 6BB</t>
  </si>
  <si>
    <t>HELMET GAMECHANGER TRI, M, 6WB</t>
  </si>
  <si>
    <t>HELMET GAMECHANGER TRI, L1, 6BB</t>
  </si>
  <si>
    <t>XZONE</t>
  </si>
  <si>
    <t>Shirt/T-Shirt/Polo S</t>
  </si>
  <si>
    <t>BB MTB ABBUN101B22B 68X122.5MM W/FBOLT</t>
  </si>
  <si>
    <t>SHIMANO</t>
  </si>
  <si>
    <t>BB Set and Part of</t>
  </si>
  <si>
    <t>BIBSHORT S-PHYRE FLS PCWPARSVE11M, L3, B</t>
  </si>
  <si>
    <t>BIBSHORT S-PHYRE LEG PCWPARSUS20M, L2, B</t>
  </si>
  <si>
    <t>Chainwheel and Parts</t>
  </si>
  <si>
    <t>PRO</t>
  </si>
  <si>
    <t>Bottle Cage</t>
  </si>
  <si>
    <t>BRAKE 105 IBRR7000AF82XL, F, B</t>
  </si>
  <si>
    <t>Brake-Caliper</t>
  </si>
  <si>
    <t>BRAKE LEVER GRX IBLRX812L, L, 0</t>
  </si>
  <si>
    <t>Brake-Lever</t>
  </si>
  <si>
    <t>BRAKE LEVER GRX IBLRX812R, R, 0</t>
  </si>
  <si>
    <t>BRAKE LEVER SORA ABLR3000CL, L, 0</t>
  </si>
  <si>
    <t>BRAKE LEVER SORA ABLR3000CR, R, 0</t>
  </si>
  <si>
    <t>Chain &amp; Part Of</t>
  </si>
  <si>
    <t>CHAIN PIN CN-M732 Y04598020, 0</t>
  </si>
  <si>
    <t>CHAIN PIN F/ CHAIN 7900, 0</t>
  </si>
  <si>
    <t>CHAINRING FC M8000-1 30T ISMCRM81A0</t>
  </si>
  <si>
    <t>CHAINRING FC M9100-1 34T ISMCRM95A4</t>
  </si>
  <si>
    <t>Shoe Cleats</t>
  </si>
  <si>
    <t>Sprocket Freewheel</t>
  </si>
  <si>
    <t>Shift wire/casing</t>
  </si>
  <si>
    <t>FC SAINT KFCM825AA8X 38X165 W/BB</t>
  </si>
  <si>
    <t>FC XT KFCM81002CX66 36/26X170 W/O BB</t>
  </si>
  <si>
    <t>Front Derailleur</t>
  </si>
  <si>
    <t>FD TNEY AFDTY500TSM6 42T TSDP, M</t>
  </si>
  <si>
    <t>FD TNEY AFDTY510TSM6 48T TSDP, M</t>
  </si>
  <si>
    <t>FD TNEY TX AFDTX800TSM6 42/48T TSDLP, M</t>
  </si>
  <si>
    <t>FD TNEY TY EFDTY510TSX6 48T TSDP, L</t>
  </si>
  <si>
    <t>GLOVES ADVANCED ECWGLBSUS21M, L2, W</t>
  </si>
  <si>
    <t>Gloves</t>
  </si>
  <si>
    <t>GLOVES ADVANCED ECWGLBSUS21M, M, B</t>
  </si>
  <si>
    <t>GLOVES ADVANCED ECWGLBSUS21M, M, W</t>
  </si>
  <si>
    <t>GLOVES ADVANCED ECWGLBSVS41M, L2, E</t>
  </si>
  <si>
    <t>GLOVES ADVANCED ECWGLBSVS41M, L2, R</t>
  </si>
  <si>
    <t>GLOVES ADVANCED ECWGLBSVS41M, M, B</t>
  </si>
  <si>
    <t>GLOVES ADVANCED ECWGLBSVS41M, M, E</t>
  </si>
  <si>
    <t>GLOVES CLASSIC ECWGLBSTS11M, M, R</t>
  </si>
  <si>
    <t>GLOVES ESCAPE ECWGLBSTS21M, M, B</t>
  </si>
  <si>
    <t>GLOVES ESCAPE ECWGLBSVS21M, M, B</t>
  </si>
  <si>
    <t>GLOVES ESCAPE ECWGLBSVS21M, M, L</t>
  </si>
  <si>
    <t>GLOVES ESCAPE ECWGLBSVS21M, M, W</t>
  </si>
  <si>
    <t>GLOVES VALUE ECWGLBSRS51Y, L1, L</t>
  </si>
  <si>
    <t>GLOVES VALUE ECWGLBSRS51Y, M, B</t>
  </si>
  <si>
    <t>GLOVES VALUE ECWGLBSRS51Y, M, L</t>
  </si>
  <si>
    <t>Derailleur Group Set</t>
  </si>
  <si>
    <t>GS SLX M7100 36/26X170 10-45T 2 PISTON</t>
  </si>
  <si>
    <t>H.BAR MTB KORYAK 31.8/20/800, B</t>
  </si>
  <si>
    <t>Handlebar</t>
  </si>
  <si>
    <t>H.BAR MTB KYK DI2 RISER 31.8/20/760MM, B</t>
  </si>
  <si>
    <t>H.BAR ROAD VIBE CARBON COMP 31.8/400</t>
  </si>
  <si>
    <t>H.BAR ROAD VIBE CARBON COMP 31.8/420</t>
  </si>
  <si>
    <t>H.BAR VIBE ANATOMIC CRB 44CM/31.8MM</t>
  </si>
  <si>
    <t>H.STEM DISCOVER 31.8/90MM/+/-6D, B</t>
  </si>
  <si>
    <t>Handle Stem</t>
  </si>
  <si>
    <t>H.STEM GRAVEL DISCOVER 31.8/100 +/-6 DG</t>
  </si>
  <si>
    <t>H.STEM GRAVEL DISCOVER 31.8/110 +/-6 DG</t>
  </si>
  <si>
    <t>H.STEM KORYAK 31.8/40MM/0D PRSS0531, B</t>
  </si>
  <si>
    <t>H.STEM VIBE 1 1/4SB 100X31.8/-10 ANGLE,B</t>
  </si>
  <si>
    <t>H.STEM VIBE 1 1/4SB 90X31.8/-10 ANGLE, B</t>
  </si>
  <si>
    <t>H.STEM VIBE 100MM / 31.8MM / -10 ANGLE,B</t>
  </si>
  <si>
    <t>H.STEM VIBE 90/31.8/-10 ANGLE,B 0581</t>
  </si>
  <si>
    <t>H.STEM VIBE 90MM / 31.8MM / -10 ANGLE, B</t>
  </si>
  <si>
    <t>H.STEM VIBE CARBON 110X31.8/-8 ANGLE, B</t>
  </si>
  <si>
    <t>H.STEM VIBE CARBON 90X31.8/+AC0-8 ANGLE,</t>
  </si>
  <si>
    <t>HELMET CAMELEON T, L1, 3BR</t>
  </si>
  <si>
    <t>LAZER</t>
  </si>
  <si>
    <t>HELMET CAMELEON T, L1, 3W</t>
  </si>
  <si>
    <t>HELMET CAMELEON T, M, 3BE</t>
  </si>
  <si>
    <t>HELMET CAMELEON T, M, 3BR</t>
  </si>
  <si>
    <t>HELMET CAMELEON T, M, 3W</t>
  </si>
  <si>
    <t>HELMET CAMELEON T, S1, 3BE</t>
  </si>
  <si>
    <t>HELMET CAMELEON T, S1, 3BR</t>
  </si>
  <si>
    <t>HELMET CAMELEON T, S1, 3W</t>
  </si>
  <si>
    <t>HELMET CHIRU T, L1, 3BE</t>
  </si>
  <si>
    <t>HELMET CHIRU T, L1, 3L</t>
  </si>
  <si>
    <t>HELMET CHIRU T, S1, 3BE</t>
  </si>
  <si>
    <t>HELMET CHIRU T, S1, 3L</t>
  </si>
  <si>
    <t>HELMET CHIRU T, S1, 3R</t>
  </si>
  <si>
    <t>HELMET COYOTE T, S1, 3RB</t>
  </si>
  <si>
    <t>HELMET GENESIS AF T, L1, B</t>
  </si>
  <si>
    <t>HELMET GENESIS AF T, M, 3T</t>
  </si>
  <si>
    <t>HELMET GENESIS AF T, M, B</t>
  </si>
  <si>
    <t>HELMET GENESIS AF U, L1, LPK</t>
  </si>
  <si>
    <t>HELMET GENESIS AF U, M, BK</t>
  </si>
  <si>
    <t>HELMET GENESIS AF U, M, LPK</t>
  </si>
  <si>
    <t>HELMET GENESIS AF V, L1, 1L</t>
  </si>
  <si>
    <t>HELMET GENESIS AF V, L1, BG</t>
  </si>
  <si>
    <t>HELMET GENESIS AF V, M, 1L</t>
  </si>
  <si>
    <t>HELMET GENESIS AF V, M, BG</t>
  </si>
  <si>
    <t>HELMET IMPALA SHIMANO T, S1, BL</t>
  </si>
  <si>
    <t>HELMET IMPALA T, S1, 3B</t>
  </si>
  <si>
    <t>HELMET IMPALA U, L1, 3L</t>
  </si>
  <si>
    <t>HELMET IMPALA U, S1, 3E</t>
  </si>
  <si>
    <t>HELMET IMPALA U, S1, 3L</t>
  </si>
  <si>
    <t>HELMET JACKAL U, M, 2E</t>
  </si>
  <si>
    <t>HELMET JACKAL U, S1, 2E</t>
  </si>
  <si>
    <t>HELMET JACKAL U, S1, 3B</t>
  </si>
  <si>
    <t>HELMET SPHERE MIPS U, L1, LPK</t>
  </si>
  <si>
    <t>HELMET SPHERE U, M, BK</t>
  </si>
  <si>
    <t>HELMET SPHERE U, M, R</t>
  </si>
  <si>
    <t>HELMET TONIC S, L1, W</t>
  </si>
  <si>
    <t>HELMET TONIC T, S1, 3LB</t>
  </si>
  <si>
    <t>HELMET TONIC T, S1, 3T</t>
  </si>
  <si>
    <t>HELMET TONIC V, L1, 1L</t>
  </si>
  <si>
    <t>HELMET VENTO AF V, S1, 3LE</t>
  </si>
  <si>
    <t>HELMET VENTO AF V, S1, W</t>
  </si>
  <si>
    <t>JERSEY AEROLITE ECWJSPSUS51M, L1, 2L</t>
  </si>
  <si>
    <t>JERSEY AEROLITE ECWJSPSUS51M, M, 2L</t>
  </si>
  <si>
    <t>JERSEY AEROLITE ECWJSPSUS51M, M, H</t>
  </si>
  <si>
    <t>JERSEY AEROLITE PCWJSPSVE21M, L4, 1L</t>
  </si>
  <si>
    <t>JERSEY ELEMENT PCWJSPSVE41M, L1, E</t>
  </si>
  <si>
    <t>JERSEY ELEMENT PCWJSPSVE41M, L4, E</t>
  </si>
  <si>
    <t>JERSEY ELEMENT PCWJSPSVE41M, L4, L</t>
  </si>
  <si>
    <t>JERSEY ELEMENT PCWJSPSVE41M, S1, E</t>
  </si>
  <si>
    <t>JERSEY ELEMENT PCWJSPSVE41M, S1, L</t>
  </si>
  <si>
    <t>JERSEY ELEMENT PCWJSPSVE41M, S1, R</t>
  </si>
  <si>
    <t>JERSEY EVOLVE PCWJSPSVE51M, M, R</t>
  </si>
  <si>
    <t>JERSEY MIZUKI PCWJSPSVE21W, M, R</t>
  </si>
  <si>
    <t>JERSEY MIZUKI PCWJSPSVE21W, S1, L</t>
  </si>
  <si>
    <t>JERSEY MYOKO LONG PCWJSTSVE12M, L3, 1N</t>
  </si>
  <si>
    <t>JERSEY MYOKO LONG PCWJSTSVE12M, L4, 2L</t>
  </si>
  <si>
    <t>JERSEY MYOKO LONG PCWJSTSVE12M, M, 1N</t>
  </si>
  <si>
    <t>JERSEY S-PHYRE FLS PCWJSRSVE11M, L1, R2L</t>
  </si>
  <si>
    <t>JERSEY S-PHYRE FLS PCWJSRSVE11M, L1, YG</t>
  </si>
  <si>
    <t>JERSEY S-PHYRE FLS PCWJSRSVE11M, L2, R2L</t>
  </si>
  <si>
    <t>JERSEY S-PHYRE FLS PCWJSRSVE11M, L3, R2L</t>
  </si>
  <si>
    <t>JERSEY S-PHYRE FLS PCWJSRSVE11M, M, R2L</t>
  </si>
  <si>
    <t>JERSEY S-PHYRE FLS PCWJSRSVE11M, M, YG</t>
  </si>
  <si>
    <t>JERSEY S-PHYRE ICWJSRSSS11M, L1, G</t>
  </si>
  <si>
    <t>JERSEY S-PHYRE ICWJSRSSS11M, L2, G</t>
  </si>
  <si>
    <t>JERSEY S-PHYRE ICWJSRSSS11M, M, B</t>
  </si>
  <si>
    <t>JERSEY S-PHYRE LEG PCWJSRSUS15M, L3, R2L</t>
  </si>
  <si>
    <t>JERSEY S-PHYRE LEG PCWJSRSUS15M, L4, E</t>
  </si>
  <si>
    <t>JERSEY S-PHYRE LEG PCWJSRSUS15M, L4, R2L</t>
  </si>
  <si>
    <t>JERSEY S-PHYRE LEG PCWJSRSUS15M, M, E</t>
  </si>
  <si>
    <t>JERSEY S-PHYRE LEG PCWJSRSUS15M, M, R2L</t>
  </si>
  <si>
    <t>JERSEY S-PHYRE LTD PCWJSRSTS11M, L1, BG</t>
  </si>
  <si>
    <t>JERSEY S-PHYRE LTD PCWJSRSTS11M, L2, BG</t>
  </si>
  <si>
    <t>JERSEY SUMIRE PCWJSPSVE11W, L2, 1L</t>
  </si>
  <si>
    <t>JERSEY SUMIRE PCWJSPSVE11W, L2, G</t>
  </si>
  <si>
    <t>JERSEY SUMIRE PCWJSPSVE11W, L2, P</t>
  </si>
  <si>
    <t>JERSEY SUMIRE PCWJSPSVE11W, S1, 1L</t>
  </si>
  <si>
    <t>JERSEY SUMIRE PCWJSPSVE11W, S1, 2L</t>
  </si>
  <si>
    <t>JERSEY SUMIRE PCWJSPSVE11W, S1, G</t>
  </si>
  <si>
    <t>JERSEY SUMIRE PCWJSPSVE11W, S1, P</t>
  </si>
  <si>
    <t>JERSEY SUMIRE PCWJSPSVE11W, S1, R2L</t>
  </si>
  <si>
    <t>JERSEY TEAM PCWJSPSVE31M, L1, G2L</t>
  </si>
  <si>
    <t>JERSEY TEAM PCWJSPSVE31M, L1, L</t>
  </si>
  <si>
    <t>JERSEY TEAM PCWJSPSVE31M, L4, G2L</t>
  </si>
  <si>
    <t>JERSEY TEAM PCWJSPSVE31M, L4, L</t>
  </si>
  <si>
    <t>JERSEY TEAM PCWJSPSVE31M, M, L</t>
  </si>
  <si>
    <t>JERSEY YURI PCWJSRSVE11W, M, 2L</t>
  </si>
  <si>
    <t>JERSEY YURI PCWJSRSVE11W, M, BK</t>
  </si>
  <si>
    <t>JERSEY YURI PCWJSRSVE11W, S1, 1L</t>
  </si>
  <si>
    <t>JERSEY YURI PCWJSRSVE11W, S1, D</t>
  </si>
  <si>
    <t>LEG SUN BLOCK ECWWABSSS11M, L1, B</t>
  </si>
  <si>
    <t>Leg Cover</t>
  </si>
  <si>
    <t>LEG SUN BLOCK ECWWABSSS11M, L2, B</t>
  </si>
  <si>
    <t>LEG SUN BLOCK ECWWABSSS11M, M, B</t>
  </si>
  <si>
    <t>Spoke &amp; Nipple</t>
  </si>
  <si>
    <t>OUTER CAP UNIT BRK CBL BL-M950 Y87298110</t>
  </si>
  <si>
    <t>PEDAL SAINT PD-M828 EPDM828, 0</t>
  </si>
  <si>
    <t>Pedal</t>
  </si>
  <si>
    <t>PEDAL XTR IPDM9100, 0</t>
  </si>
  <si>
    <t>Rear Derailleur</t>
  </si>
  <si>
    <t>RD TNEY TZ ARDTZ500GSB 6SP, B</t>
  </si>
  <si>
    <t>Brake-Rotor</t>
  </si>
  <si>
    <t>ROTOR ISMRT900SS1 INT 140MM CL</t>
  </si>
  <si>
    <t>ROTOR SLX ISMRT70SSE EXT 140MM CL</t>
  </si>
  <si>
    <t>ROTOR XT IRTMT800SSE EXT 140MM CL</t>
  </si>
  <si>
    <t>ROTOR XT KSMRT86M2 180MM 6B</t>
  </si>
  <si>
    <t>ROTOR XTR IRTMT900SSE EXT 140MM CL</t>
  </si>
  <si>
    <t>SADDLE GRIFFON OFFROAD 142MM, B</t>
  </si>
  <si>
    <t>Saddle</t>
  </si>
  <si>
    <t>SADDLE STEALTH CURVED TEAM 152MM, B</t>
  </si>
  <si>
    <t>Shifter</t>
  </si>
  <si>
    <t>SHOES SH-ET300, 450, 1N</t>
  </si>
  <si>
    <t>Footwear</t>
  </si>
  <si>
    <t>SHOES SH-ET300, 460, E</t>
  </si>
  <si>
    <t>SHOES SH-ET500, 460, B</t>
  </si>
  <si>
    <t>SHOES SH-GR501, 400, BL</t>
  </si>
  <si>
    <t>SHOES SH-GR501, 400, E</t>
  </si>
  <si>
    <t>SHOES SH-GR501, 450, E</t>
  </si>
  <si>
    <t>SHOES SH-GR501, 460, BL</t>
  </si>
  <si>
    <t>SHOES SH-IC100, 370, B</t>
  </si>
  <si>
    <t>SHOES SH-IC100, 390, B</t>
  </si>
  <si>
    <t>SHOES SH-RC100, 400, L</t>
  </si>
  <si>
    <t>SHOES SH-RC100, 400, Y</t>
  </si>
  <si>
    <t>SHOES SH-RC100, 460, L</t>
  </si>
  <si>
    <t>SHOES SH-RC300E, 370, B</t>
  </si>
  <si>
    <t>SHOES SH-RC300E, 370, W</t>
  </si>
  <si>
    <t>SHOES SH-RC300E, 400, R</t>
  </si>
  <si>
    <t>SHOES SH-RC300E, 410, R</t>
  </si>
  <si>
    <t>SHOES SH-RC300E, 440, R</t>
  </si>
  <si>
    <t>SHOES SH-RC300E, 450, R</t>
  </si>
  <si>
    <t>SHOES SH-RC300E, 460, R</t>
  </si>
  <si>
    <t>SHOES SH-RC300E, 460, W</t>
  </si>
  <si>
    <t>SHOES SH-RC502 WOMEN, 380, W</t>
  </si>
  <si>
    <t>SHOES SH-RC502E, 450, W</t>
  </si>
  <si>
    <t>SHOES SH-RC502E, 460, B</t>
  </si>
  <si>
    <t>SHOES SH-RC502E, 460, W</t>
  </si>
  <si>
    <t>SHOES SH-RC502E, 480, B</t>
  </si>
  <si>
    <t>SHOES SH-RC502E, 490, W</t>
  </si>
  <si>
    <t>SHOES SH-RC702E, 450, B</t>
  </si>
  <si>
    <t>SHOES SH-RC702E, 450, G</t>
  </si>
  <si>
    <t>SHOES SH-RC702E, 460, W</t>
  </si>
  <si>
    <t>SHOES SH-RC902 WOMEN, 370, W</t>
  </si>
  <si>
    <t>SHOES SH-RC902E, 380, W</t>
  </si>
  <si>
    <t>SHOES SH-RC902E, 400, L</t>
  </si>
  <si>
    <t>SHOES SH-RC902E, 410, L</t>
  </si>
  <si>
    <t>SHOES SH-RC902E, 410, R</t>
  </si>
  <si>
    <t>SHOES SH-RC902E, 440, L</t>
  </si>
  <si>
    <t>SHOES SH-RC902E, 450, L</t>
  </si>
  <si>
    <t>SHOES SH-RC902E, 450, R</t>
  </si>
  <si>
    <t>SHOES SH-RC902SE, 450, B</t>
  </si>
  <si>
    <t>SHOES SH-RC903SE, 430, S</t>
  </si>
  <si>
    <t>SHOES SH-RC903SE, 450, S</t>
  </si>
  <si>
    <t>SHOES SH-RP301E, 400, B</t>
  </si>
  <si>
    <t>SHOES SH-RX800E, 410, B</t>
  </si>
  <si>
    <t>SHOES SH-RX800E, 440, B</t>
  </si>
  <si>
    <t>SHOES SH-RX800E, 450, S</t>
  </si>
  <si>
    <t>SHOES SH-RX800E, 450, Z</t>
  </si>
  <si>
    <t>SHOES SH-TR501, 400, W</t>
  </si>
  <si>
    <t>SHOES SH-TR501, 410, W</t>
  </si>
  <si>
    <t>SHOES SH-TR501, 420, W</t>
  </si>
  <si>
    <t>SHOES SH-TR501, 450, W</t>
  </si>
  <si>
    <t>SHOES SH-TR501, 460, W</t>
  </si>
  <si>
    <t>SHOES SH-XC100, 450, R</t>
  </si>
  <si>
    <t>SHOES SH-XC502E, 460, G</t>
  </si>
  <si>
    <t>SHOES SH-XC702E, 440, R</t>
  </si>
  <si>
    <t>SHOES SH-XC702E, 460, B</t>
  </si>
  <si>
    <t>SHOES SH-XC903E, 420, GN</t>
  </si>
  <si>
    <t>SL ACERA ASLM3000LBT LEFT, 3, 0</t>
  </si>
  <si>
    <t>SL ALIVIO ASLM3100LB LEFT, 3, 0</t>
  </si>
  <si>
    <t>SL ALIVIO ASLM4000LB LEFT, 3, B</t>
  </si>
  <si>
    <t>SL ALTUS ASLM310LB LEFT, 3, B</t>
  </si>
  <si>
    <t>SL ALTUS ASLM315LB LEFT, 3, 0</t>
  </si>
  <si>
    <t>SL ALTUS ESLM2010LB LEFT, 3, 0</t>
  </si>
  <si>
    <t>SL CLARIS ASLR2000LB LEFT F.BAR, 2, 0</t>
  </si>
  <si>
    <t>SL CLARIS ASLR2000RA RIGHT F.BAR, 8, 0</t>
  </si>
  <si>
    <t>SL SAINT ISLM820RAP, RIGHT, 10, B</t>
  </si>
  <si>
    <t>SL SLX KSLM7000LB LEFT, 2/3, 0</t>
  </si>
  <si>
    <t>SL SORA ASLR3000LB LEFT F.BAR, 2, B</t>
  </si>
  <si>
    <t>SL SORA ASLR3000RA RIGHT F.BAR, 9, 0</t>
  </si>
  <si>
    <t>SL TIAGRA KSL4700LB LEFT F.BAR, 2, 0</t>
  </si>
  <si>
    <t>SL TNEY TY RS-35 ESLRS35LNBP LEFT, 3, B</t>
  </si>
  <si>
    <t>SL TNEY TY RS-36 ASLRS36LSBP, 3, B</t>
  </si>
  <si>
    <t>SOCKS S-PHY TALL ECWSCBSUS31U 41-44, WP</t>
  </si>
  <si>
    <t>Socks</t>
  </si>
  <si>
    <t>SUNGLASSES EQUINOX CE-EQNX4RD, 3B</t>
  </si>
  <si>
    <t>Eye wear</t>
  </si>
  <si>
    <t>SUNGLASSES RX-CLIP CERXCLIP, 0</t>
  </si>
  <si>
    <t>SUNGLASSES S-PHYRE CESPHR2 RS, 3B</t>
  </si>
  <si>
    <t>SUNGLASSES S-PHYRE CESPHR2 RS, W</t>
  </si>
  <si>
    <t>SUNGLASSES TECHNIUM CE-TCNM2 OR, 2G</t>
  </si>
  <si>
    <t>SUNGLASSES TECHNIUM CE-TCNM2 OR, 3K</t>
  </si>
  <si>
    <t>SUNGLASSES TECHNIUM L CE-TCNL2 ROAD, R</t>
  </si>
  <si>
    <t>VIBE EVO SPACER SET 1 1/8''</t>
  </si>
  <si>
    <t>Wheel Set</t>
  </si>
  <si>
    <t>WH SET RS171 EWHRS171FERED70B CL DISC, B</t>
  </si>
  <si>
    <t>TIRE RRON 27.5X2.10 ADDIX P, F, B</t>
  </si>
  <si>
    <t>SCHWALBE</t>
  </si>
  <si>
    <t>Tire</t>
  </si>
  <si>
    <t>TIRE RRON 27.5X2.25 ADDIX P, F, TR, B</t>
  </si>
  <si>
    <t>TIRE R KOJAK 20X1.35, B (FOLDING)</t>
  </si>
  <si>
    <t>TIRE ONE SKINWALL 16X1.35 (349) KEV, B</t>
  </si>
  <si>
    <t>TIRE MARATHON 16X1.35 P,W,B</t>
  </si>
  <si>
    <t>TIRE NB.NIC 27.5X2.25 PERF,F,TR,B ADX</t>
  </si>
  <si>
    <t>TIRE NNIC 29X2.25 ADX P, F, B</t>
  </si>
  <si>
    <t>BROOKS</t>
  </si>
  <si>
    <t>SADDLE BROOKS C67, B</t>
  </si>
  <si>
    <t>BOTTLE TOOL BAG TB-10, B</t>
  </si>
  <si>
    <t>CYCLISTE</t>
  </si>
  <si>
    <t>Bag</t>
  </si>
  <si>
    <t>SADDLE PACK POLYGON, B</t>
  </si>
  <si>
    <t>POLYGON</t>
  </si>
  <si>
    <t>Saddle bag</t>
  </si>
  <si>
    <t>BELL PB1000, 1G</t>
  </si>
  <si>
    <t>CATEYE</t>
  </si>
  <si>
    <t>Bell</t>
  </si>
  <si>
    <t>BELL PB1000, 1L</t>
  </si>
  <si>
    <t>BELL PB1000, B</t>
  </si>
  <si>
    <t>BELL PB1000, D</t>
  </si>
  <si>
    <t>BELL PB1000, K</t>
  </si>
  <si>
    <t>BELL PB1000, P</t>
  </si>
  <si>
    <t>BELL PB1000, Y</t>
  </si>
  <si>
    <t>BELL PB600, B</t>
  </si>
  <si>
    <t>C-COMP CC VL520 VELO 7, B</t>
  </si>
  <si>
    <t>Cyclo Computer</t>
  </si>
  <si>
    <t>C-COMP CC VL820 VELO 9, B</t>
  </si>
  <si>
    <t>C-COMP CC VL820 VELO 9, W</t>
  </si>
  <si>
    <t>C-COMP CC-PA100 PADRONE W, B</t>
  </si>
  <si>
    <t>C-COMP CC-PA100 PADRONE W, W</t>
  </si>
  <si>
    <t>C-COMP CC-VT230W VELO WIRELESS, R</t>
  </si>
  <si>
    <t>CADENCE MAGNET 1699766, B</t>
  </si>
  <si>
    <t>WHEEL MAGNET 1699691N, B</t>
  </si>
  <si>
    <t>C-COMP CC-RS100W QUICK WIRELESS, B</t>
  </si>
  <si>
    <t>HUB FRONT OLD100 6BLT TA+QR Y21, F32, B</t>
  </si>
  <si>
    <t>ENTITY</t>
  </si>
  <si>
    <t>Hub</t>
  </si>
  <si>
    <t>HUB FRONT OLD110 6BLT BOOST Y21, F32, B</t>
  </si>
  <si>
    <t>HUB REAR 12SP 142 6BLT TA Y21, R32, B</t>
  </si>
  <si>
    <t>HUB REAR 12SP 148 6BLT BOOST Y21, R32, B</t>
  </si>
  <si>
    <t>HUB REAR 8-11SP 142 6BLT TA+QR, R32, B</t>
  </si>
  <si>
    <t>HUB REAR 8-11SP 148 6BLT BOOST, R32, B</t>
  </si>
  <si>
    <t>HUB FRONT OLD100 CL Y22, 24, B</t>
  </si>
  <si>
    <t>HUB REAR 8-11SP 142 CL, 24, B</t>
  </si>
  <si>
    <t>R.LAMP AU-330 BLITZ AUTO, B</t>
  </si>
  <si>
    <t>Lamp Front &amp; Rear</t>
  </si>
  <si>
    <t>R.LAMP LD570-BR(5)R REFLEX AUTO, B</t>
  </si>
  <si>
    <t>R.LAMP LD 155 OMNI 5, R</t>
  </si>
  <si>
    <t>LAMP KIT GS12 EL135/LD135/VL520, 0</t>
  </si>
  <si>
    <t>LAMP KIT EL135+LD135, 0</t>
  </si>
  <si>
    <t>RUBBER BASE 5447030, B</t>
  </si>
  <si>
    <t>CHARGING CRADLE CRA-002, B</t>
  </si>
  <si>
    <t>R.LAMP LD710K RAPID X2 KINETIC, R</t>
  </si>
  <si>
    <t>R.LAMP LD720 150 LM RAPID X3 NEW, R</t>
  </si>
  <si>
    <t>S.LAMP WA100 WEARABLE X, B</t>
  </si>
  <si>
    <t>LAMP KIT NW100RC/NW100K SYNC/KINETIC, B</t>
  </si>
  <si>
    <t>S.LAMP SL-NW100 SYNC WEARABLE, B</t>
  </si>
  <si>
    <t>LAMP KIT LD160RC ORB RECHARGE F/R, B</t>
  </si>
  <si>
    <t>R.LAMP LD-180K TIGHT KINETIC, R</t>
  </si>
  <si>
    <t>SMARTPHONE CASE 01</t>
  </si>
  <si>
    <t>Other bike accessori</t>
  </si>
  <si>
    <t>RIM 27.5 DR-20 DISC, 32, B</t>
  </si>
  <si>
    <t>ARAYA</t>
  </si>
  <si>
    <t>Rim</t>
  </si>
  <si>
    <t>RIM 700C DR-20 DISC, 32, B</t>
  </si>
  <si>
    <t>RIM DA22 24 CNC FV DOUBLE WALL P, 32, W</t>
  </si>
  <si>
    <t>RIM VISTA 24, 36, S</t>
  </si>
  <si>
    <t>RIM TRS DISC 26X1.5, 36, S</t>
  </si>
  <si>
    <t>RIGIDA</t>
  </si>
  <si>
    <t>RIM 700C R19 BK/CNC FV, 28, B</t>
  </si>
  <si>
    <t>OTHERS</t>
  </si>
  <si>
    <t>TRAINER LR541, B</t>
  </si>
  <si>
    <t>MINOURA</t>
  </si>
  <si>
    <t>Trainer Stand Roller</t>
  </si>
  <si>
    <t>TRAINER MAG RIDE 60R REMOTE</t>
  </si>
  <si>
    <t>Bar Tape</t>
  </si>
  <si>
    <t>H.BAR ROAD 31.8X380MM, B</t>
  </si>
  <si>
    <t>H.BAR ROAD AERO F20 31.8X420MM, B</t>
  </si>
  <si>
    <t>16G CO2 CARTRIDGE, 1X3PCS</t>
  </si>
  <si>
    <t>Pump</t>
  </si>
  <si>
    <t>S.POST SUSP SP12-NCX 27.2X350MM</t>
  </si>
  <si>
    <t>SUNTOUR</t>
  </si>
  <si>
    <t>Seat Post</t>
  </si>
  <si>
    <t>TOOL BAG CHALLENGE 0.5 L, N</t>
  </si>
  <si>
    <t>TOOL BAG D-SHAPED, B</t>
  </si>
  <si>
    <t>TOOL BAG D-SHAPED, N</t>
  </si>
  <si>
    <t>PICKWICK DAY PACK 26L, BB</t>
  </si>
  <si>
    <t>TOOL BAG D-SHAPED (MY2018), 1N</t>
  </si>
  <si>
    <t>PICKWICK DAY PACK REFLECTIVE 26L, B</t>
  </si>
  <si>
    <t>FD SLX KFDM7100D6 SSFP D.MOUNT, 0</t>
  </si>
  <si>
    <t>FD XT IFDM8100MX6 SSFP BAND-TYPE, 0</t>
  </si>
  <si>
    <t>TIRE TCHAN 29X2.4 E, F, ST, ADUSF, TLE,B</t>
  </si>
  <si>
    <t>BAR END COMP 102MM NEW, B</t>
  </si>
  <si>
    <t>RITCHEY</t>
  </si>
  <si>
    <t>Bar End</t>
  </si>
  <si>
    <t>BAR TAPE WCS RACE, B</t>
  </si>
  <si>
    <t>BAR TAPE MICROFIBER, 1N</t>
  </si>
  <si>
    <t>BAR TAPE WCS GAZOS, B</t>
  </si>
  <si>
    <t>BAR TAPE WCS GAZOS, R</t>
  </si>
  <si>
    <t>CHAIN STAY PROTECTOR PYRA</t>
  </si>
  <si>
    <t>Chain Stay Protector</t>
  </si>
  <si>
    <t>FC DURAACE IFCR9100CX26 52/36X170 W/O BB</t>
  </si>
  <si>
    <t>FC ULT IFCR8000CX26 52/36X170 W/O BB IP</t>
  </si>
  <si>
    <t>H.GRIP WCS ERGO 130MM, B</t>
  </si>
  <si>
    <t>Handle Grip</t>
  </si>
  <si>
    <t>H.GRIP WCS ERGO LOCKING 130MM, B</t>
  </si>
  <si>
    <t>H.GRIP WCS TRAIL LOCKING, B</t>
  </si>
  <si>
    <t>H.GRIP WCS TRUEGRIP X LOCKING, B</t>
  </si>
  <si>
    <t>H.STEM ALLOY WHT SILVER 03</t>
  </si>
  <si>
    <t>H.STEM POLYGON ALLOY BK OE</t>
  </si>
  <si>
    <t>H.STEM POLYGON ALLOY WH SPORT</t>
  </si>
  <si>
    <t>H.STEM MTB TRAIL 31.8X60MM, B</t>
  </si>
  <si>
    <t>H.STEM WCS C220 MATRIX CRB 31.8X70MM, F</t>
  </si>
  <si>
    <t>H.STEM WCS C220 MATRIX CRB 31.8X90MM, F</t>
  </si>
  <si>
    <t>H.BAR VIBE AERO S.LIGHT COMP 42CM/31.8MM</t>
  </si>
  <si>
    <t>H.BAR VIBE S.LIGHT COMP 40CM /31.8MM,B</t>
  </si>
  <si>
    <t>H.BAR ROAD PLT CARBON 31.8/420, B</t>
  </si>
  <si>
    <t>H.BAR PLT ERGO CRB 42CM/31.8MM</t>
  </si>
  <si>
    <t>H.BAR MTB WCS 2X 31.8X740MM, B</t>
  </si>
  <si>
    <t>H.BAR MTB WCS RIZER 31.8/30/760MM, B</t>
  </si>
  <si>
    <t>H.BAR MTB COMP FLAT 2X 31.8X710MM,B</t>
  </si>
  <si>
    <t>H.BAR ROAD COMP STREEM IR 31.8X400MM,B</t>
  </si>
  <si>
    <t>H.BAR ROAD COMP STREEM IR 31.8X420MM,B</t>
  </si>
  <si>
    <t>H.BAR ROAD COMP STREEM IR 31.8X440MM,B</t>
  </si>
  <si>
    <t>H.BAR ROAD WCS VENTUREMAX CRB 31.8X420,F</t>
  </si>
  <si>
    <t>H.BAR ROAD WCS VENTUREMAX CRB 31.8X440,F</t>
  </si>
  <si>
    <t>PEDAL CYGMA EZY, S</t>
  </si>
  <si>
    <t>MKS</t>
  </si>
  <si>
    <t>PEDAL UB-LITE EZY, B</t>
  </si>
  <si>
    <t>PEDAL TOURING LITE EZY SUPERIOR, S</t>
  </si>
  <si>
    <t>PEDAL MT-E EZY, B</t>
  </si>
  <si>
    <t>PEDAL CLEAT ZP-115, B</t>
  </si>
  <si>
    <t>ZERAY</t>
  </si>
  <si>
    <t>SADDLE WCS TRAIL, B</t>
  </si>
  <si>
    <t>SELLE ROYAL</t>
  </si>
  <si>
    <t>WTB</t>
  </si>
  <si>
    <t>EXAFORM</t>
  </si>
  <si>
    <t>S.POST SUSP T E-TEN T100 30.9X385</t>
  </si>
  <si>
    <t>KS / KIND SHOCK</t>
  </si>
  <si>
    <t>S.POST SUSP T E-TEN T100 31.6X385</t>
  </si>
  <si>
    <t>S.POST SUSP T E-TEN T125 31.6X445</t>
  </si>
  <si>
    <t>S.POST POLYGON 31.6X300 02 SPORT, B</t>
  </si>
  <si>
    <t>TIRE 29X2.25 SPIDERBAIT</t>
  </si>
  <si>
    <t>TIRE 27.5X2.25 SPIDERBAIT FOLD</t>
  </si>
  <si>
    <t>TIRE 29X2.25 SPIDERBAIT FOLD</t>
  </si>
  <si>
    <t>TIRE FIRESPORT 27.5X2.35, B</t>
  </si>
  <si>
    <t>PANARACER</t>
  </si>
  <si>
    <t>CEMA</t>
  </si>
  <si>
    <t>BB CERAMIC INTERLOCK SHI 86.5/92X24 PF</t>
  </si>
  <si>
    <t>PULLEY ALU CERAMIC 12X14 ULT/105 12S, B</t>
  </si>
  <si>
    <t>Other der parts</t>
  </si>
  <si>
    <t>PULLEY ALU CERAMIC 12X14 DURA 12S, B</t>
  </si>
  <si>
    <t>JERSEY SUMIRE PCWJSPSVE11W, M, 1L</t>
  </si>
  <si>
    <t>JERSEY SUMIRE PCWJSPSVE11W, M, G</t>
  </si>
  <si>
    <t>JERSEY SUMIRE PCWJSPSVE11W, L1, 1L</t>
  </si>
  <si>
    <t>JERSEY SUMIRE PCWJSPSVE11W, L1, G</t>
  </si>
  <si>
    <t>JERSEY SUMIRE PCWJSPSVE11W, M, P</t>
  </si>
  <si>
    <t>JERSEY SUMIRE PCWJSPSVE11W, L1, P</t>
  </si>
  <si>
    <t>JERSEY AEROLITE PCWJSPSVE21M, L2, 1L</t>
  </si>
  <si>
    <t>JERSEY AEROLITE PCWJSPSVE21M, M, 2E</t>
  </si>
  <si>
    <t>JERSEY AEROLITE PCWJSPSVE21M, L3, 2L</t>
  </si>
  <si>
    <t>JERSEY AEROLITE PCWJSPSVE21M, L1, 2L</t>
  </si>
  <si>
    <t>JERSEY AEROLITE PCWJSPSVE21M, M, 1L</t>
  </si>
  <si>
    <t>JERSEY AEROLITE PCWJSPSVE21M, L1, 1L</t>
  </si>
  <si>
    <t>JERSEY AEROLITE PCWJSPSVE21M, L3, 1L</t>
  </si>
  <si>
    <t>JERSEY AEROLITE PCWJSPSVE21M, L1, 2E</t>
  </si>
  <si>
    <t>JERSEY AEROLITE PCWJSPSVE21M, L3, 2E</t>
  </si>
  <si>
    <t>JERSEY AEROLITE PCWJSPSVE21M, S1, 2L</t>
  </si>
  <si>
    <t>JERSEY AEROLITE PCWJSPSVE21M, M, 2L</t>
  </si>
  <si>
    <t>JERSEY S-PHYRE LEG PCWJSRSUS15M, L2, R2L</t>
  </si>
  <si>
    <t>JERSEY S-PHYRE LEG PCWJSRSUS15M, L1, E</t>
  </si>
  <si>
    <t>JERSEY S-PHYRE LEG PCWJSRSUS15M, L2, E</t>
  </si>
  <si>
    <t>JERSEY S-PHYRE LEG PCWJSRSUS15M, L1, R2L</t>
  </si>
  <si>
    <t>JERSEY S-PHYRE FLS PCWJSRSVE11M, L2, YG</t>
  </si>
  <si>
    <t>JERSEY ELEMENT PCWJSPSVE41M, M, L</t>
  </si>
  <si>
    <t>JERSEY ELEMENT PCWJSPSVE41M, L1, L</t>
  </si>
  <si>
    <t>JERSEY ELEMENT PCWJSPSVE41M, L2, L</t>
  </si>
  <si>
    <t>JERSEY ELEMENT PCWJSPSVE41M, L3, L</t>
  </si>
  <si>
    <t>JERSEY ELEMENT PCWJSPSVE41M, M, E</t>
  </si>
  <si>
    <t>JERSEY ELEMENT PCWJSPSVE41M, L2, E</t>
  </si>
  <si>
    <t>JERSEY ELEMENT PCWJSPSVE41M, L3, E</t>
  </si>
  <si>
    <t>JERSEY ELEMENT PCWJSPSVE41M, M, R</t>
  </si>
  <si>
    <t>JERSEY ELEMENT PCWJSPSVE41M, L1, R</t>
  </si>
  <si>
    <t>JERSEY ELEMENT PCWJSPSVE41M, L2, R</t>
  </si>
  <si>
    <t>JERSEY ELEMENT PCWJSPSVE41M, L3, R</t>
  </si>
  <si>
    <t>JERSEY MYOKO LONG PCWJSTSVE12M, L4, 1N</t>
  </si>
  <si>
    <t>BIBSHORT SUMIRE PCWPAPSVE32W, S1, B</t>
  </si>
  <si>
    <t>BIBSHORT SUMIRE PCWPAPSVE32W, M, B</t>
  </si>
  <si>
    <t>BIBSHORT S-PHYRE FLS PCWPARSVE11M, L2, B</t>
  </si>
  <si>
    <t>BIBSHORT KODAMA PCWPAPSUS51M, L2, B</t>
  </si>
  <si>
    <t>BIBSHORT SHIMANO PCWPAPSVE31M, L3, B</t>
  </si>
  <si>
    <t>BIBSHORT SUMIRE PCWPAPSVE32WL0115, L1, B</t>
  </si>
  <si>
    <t>Article</t>
  </si>
  <si>
    <t>Article Description</t>
  </si>
  <si>
    <t>Brand</t>
  </si>
  <si>
    <t>Article Status</t>
  </si>
  <si>
    <t>Retail Price</t>
  </si>
  <si>
    <t>TOOL BAG CHALLENGE 0.5 L, B</t>
  </si>
  <si>
    <t>BODY BAG, B</t>
  </si>
  <si>
    <t>TERN</t>
  </si>
  <si>
    <t>BAR END BE-001 110MM, B</t>
  </si>
  <si>
    <t>BAR END COMP 125MM, B</t>
  </si>
  <si>
    <t>BAR TAPE BIKE RIBBON, 0</t>
  </si>
  <si>
    <t>BAR TAPE WCS PAVE NEW, B</t>
  </si>
  <si>
    <t>BAR TAPE WCS PAVE NEW, R</t>
  </si>
  <si>
    <t>BAR TAPE WCS PAVE NEW, L</t>
  </si>
  <si>
    <t>XBASKET SW-909 SIERRA DX PLASTIC, E</t>
  </si>
  <si>
    <t>Basket</t>
  </si>
  <si>
    <t>BOTTLE PODIUM MDL B 710ML, ALK</t>
  </si>
  <si>
    <t>CAMELBAK</t>
  </si>
  <si>
    <t>BOTTLE ICE FLY 500ML, R</t>
  </si>
  <si>
    <t>BOTTLE NANO FLY T 500ML, E</t>
  </si>
  <si>
    <t>BOTTLE NANO FLY T 500ML, B</t>
  </si>
  <si>
    <t>BRAKE SORA EBRR3000AR87A, R, 0</t>
  </si>
  <si>
    <t>BRAKE SORA R3000 EBRR3000AF87X, F, 0</t>
  </si>
  <si>
    <t>BRAKE DURAACE 9100 KBRR9100AR82A, R, 0</t>
  </si>
  <si>
    <t>BRAKE DURAACE KBRR9100AF82C, F, B</t>
  </si>
  <si>
    <t>BRAKE ULT IBRR8000AF82X, F, 0</t>
  </si>
  <si>
    <t>BRAKE ULT IBRR8000AR82A, R, 0</t>
  </si>
  <si>
    <t>D.BRK DA KR9120DRRDSX170 RIGHT, R, B</t>
  </si>
  <si>
    <t>Brake-Disc Brk Hydro</t>
  </si>
  <si>
    <t>D.BRAKE SLX KM7100KLFPSA100, F, B</t>
  </si>
  <si>
    <t>D.BRAKE XT KM8120KLFXSA100, F, B</t>
  </si>
  <si>
    <t>D.BRK GRX DI2 KRX815DLF4SX100 LF, F, B</t>
  </si>
  <si>
    <t>D.BRK GRX DI2 KRX815DRRDSX170 RH, R, B</t>
  </si>
  <si>
    <t>D.BRK GRX KRX4002DLF6SX100, F, B</t>
  </si>
  <si>
    <t>D.BRK GRX KRX4001DRRDSX170, R, B</t>
  </si>
  <si>
    <t>D.BRK DEORE AM61201JLFPRX100 LEFT, F, 0</t>
  </si>
  <si>
    <t>D.BRAKE GRX IRX815DRRDSC170 RH, R, B</t>
  </si>
  <si>
    <t>D.BRK DEORE AMT4023AKRFPRX100 RH, F, B</t>
  </si>
  <si>
    <t>D.BRK GRX IRX8102DRRDSC170A RH, R, 0</t>
  </si>
  <si>
    <t>D.BRK GRX IRX8103DLF6SC100A LF, F, B</t>
  </si>
  <si>
    <t>BRAKE LEVER RX812 SET W/OIL, S, B</t>
  </si>
  <si>
    <t>ROTOR SLX KSMRT70M INT 180MM CL</t>
  </si>
  <si>
    <t>ROTOR XT KRTMT800ME EXT 180MM CL</t>
  </si>
  <si>
    <t>ROTOR ISMRT900S1 INT 160MM CL</t>
  </si>
  <si>
    <t>ROTOR SLX ESMRT66M 180MM 6B</t>
  </si>
  <si>
    <t>ROTOR XTR KRTMT900SSE EXT 140MM CL</t>
  </si>
  <si>
    <t>ROTOR ASMRT26M 180MM 6B</t>
  </si>
  <si>
    <t>ROTOR ASMRT54ME EXT 180MM CL</t>
  </si>
  <si>
    <t>CARRIER 26 STEEL BLACK (SIERRA)</t>
  </si>
  <si>
    <t>Carrier</t>
  </si>
  <si>
    <t>BELT GT, 118</t>
  </si>
  <si>
    <t>CONNECT PIN CN9000 F/ HG-EV Y0AH98010</t>
  </si>
  <si>
    <t>CHAIN PIN CN7900/7801/6600/5600 Y08X9, 0</t>
  </si>
  <si>
    <t>CHAIN PIN CN7701/HG92 Y06998010, 0</t>
  </si>
  <si>
    <t>CHAIN PIN CN7801/6600 Y08D98010, 0</t>
  </si>
  <si>
    <t>XCRANK ARM OPC Z002 COVEC 140MM</t>
  </si>
  <si>
    <t>CHAINWHEEL TANDEM 170MM (IMPRESSION)</t>
  </si>
  <si>
    <t>CHAINRING BMX 6MM BLACK</t>
  </si>
  <si>
    <t>CHAINRING GT 55T 130</t>
  </si>
  <si>
    <t>CRANK ARM FR660 5ARM 170MM BLACK</t>
  </si>
  <si>
    <t>FC XTR KFCM9020C66 36/26X170 W/BB, B</t>
  </si>
  <si>
    <t>FC XTR KFCM9020CA2 32X170 W/BB, B</t>
  </si>
  <si>
    <t>FC SORA R3000 EFCR3000CX04X 50/34 W/O BB</t>
  </si>
  <si>
    <t>CHAINRING FC-M8000 28T-BD for 38-28T</t>
  </si>
  <si>
    <t>CHAINRING FC-M8000 34T Y1RL98070</t>
  </si>
  <si>
    <t>FC XTR KFCM91201CXA2 32X170 W/O BB BOOST</t>
  </si>
  <si>
    <t>KIT SET XTR DI2 TRIPLE INT W/O ADAPT</t>
  </si>
  <si>
    <t>GS DA R9120 52/36x170 11-30 BSA RT</t>
  </si>
  <si>
    <t>SUNGLASSES KAKU LS 2, WL</t>
  </si>
  <si>
    <t>ALTALIST</t>
  </si>
  <si>
    <t>SUNGLASSES KAKU LS 2, OL</t>
  </si>
  <si>
    <t>SUNGLASSES KAKU LS 2, BL</t>
  </si>
  <si>
    <t>SUNGLASSES OVERGLASS, BR</t>
  </si>
  <si>
    <t>SUNGLASSES OVERGLASS, WLS</t>
  </si>
  <si>
    <t>FENDER CARBON COLLOSUS L SX/TX</t>
  </si>
  <si>
    <t>Fender</t>
  </si>
  <si>
    <t>FENDER CARBON COLLOSUS L AX/FR</t>
  </si>
  <si>
    <t>FENDER CARBON COLLOSUS L DH</t>
  </si>
  <si>
    <t>FENDER 02</t>
  </si>
  <si>
    <t>FENDER DOWNTUBE 02, W</t>
  </si>
  <si>
    <t>FENDER SET FOR ROAD BIKE</t>
  </si>
  <si>
    <t>FENDER SIERRA AX 24</t>
  </si>
  <si>
    <t>FENDER SW-FE-511FR F/FOLDING BIKE, B</t>
  </si>
  <si>
    <t>SUNNY WHEEL</t>
  </si>
  <si>
    <t>SHOES SH-RX800E, 450, B</t>
  </si>
  <si>
    <t>SHOES SH-RX800E, 410, Z</t>
  </si>
  <si>
    <t>SHOES SH-RX800E, 420, Z</t>
  </si>
  <si>
    <t>SHOES SH-RC100, 410, Y</t>
  </si>
  <si>
    <t>SHOES SH-RC100, 450, Y</t>
  </si>
  <si>
    <t>SHOES SH-RC100, 460, Y</t>
  </si>
  <si>
    <t>SHOES SH-RC300E, 400, B</t>
  </si>
  <si>
    <t>SHOES SH-RC300E, 450, W</t>
  </si>
  <si>
    <t>SHOES SH-RC300E, 360, B</t>
  </si>
  <si>
    <t>SHOES SH-RC300E, 360, W</t>
  </si>
  <si>
    <t>SHOES SH-RC902E, 460, B</t>
  </si>
  <si>
    <t>SHOES SH-RC902E, 460, L</t>
  </si>
  <si>
    <t>SHOES SH-RC902E, 400, R</t>
  </si>
  <si>
    <t>SHOES SH-RC902E, 440, R</t>
  </si>
  <si>
    <t>SHOES SH-RC902E, 460, R</t>
  </si>
  <si>
    <t>SHOES SH-RC902E, 460, W</t>
  </si>
  <si>
    <t>SHOES SH-RC902E, 370, W</t>
  </si>
  <si>
    <t>SHOES SH-TR501, 430, W</t>
  </si>
  <si>
    <t>SHOES SH-XC100, 450, B</t>
  </si>
  <si>
    <t>SHOES SH-RC502E, 450, B</t>
  </si>
  <si>
    <t>SHOES SH-RC502E, 460, L</t>
  </si>
  <si>
    <t>SHOES SH-RC502E, 380, B</t>
  </si>
  <si>
    <t>SHOES SH-RC502E, 490, B</t>
  </si>
  <si>
    <t>SHOES SH-RC502E, 380, W</t>
  </si>
  <si>
    <t>SHOES SH-RC502E, 470, W</t>
  </si>
  <si>
    <t>SHOES SH-RC502 WOMEN, 360, B</t>
  </si>
  <si>
    <t>SHOES SH-RC502 WOMEN, 370, B</t>
  </si>
  <si>
    <t>SHOES SH-RC502 WOMEN, 360, W</t>
  </si>
  <si>
    <t>SHOES SH-RC502 WOMEN, 370, W</t>
  </si>
  <si>
    <t>SHOES SH-RC702E, 380, B</t>
  </si>
  <si>
    <t>SHOES SH-RC702E, 460, B</t>
  </si>
  <si>
    <t>SHOES SH-RC702E, 470, B</t>
  </si>
  <si>
    <t>SHOES SH-RC702E, 480, B</t>
  </si>
  <si>
    <t>SHOES SH-RC702E, 490, B</t>
  </si>
  <si>
    <t>SHOES SH-RC702E, 380, W</t>
  </si>
  <si>
    <t>SHOES SH-RC702E, 470, W</t>
  </si>
  <si>
    <t>SHOES SH-RC702E, 480, W</t>
  </si>
  <si>
    <t>SHOES SH-RC702E, 490, W</t>
  </si>
  <si>
    <t>SHOES SH-RC702E, 460, G</t>
  </si>
  <si>
    <t>SHOES SH-XC702E, 460, R</t>
  </si>
  <si>
    <t>SHOES SH-XC902E, 440, B</t>
  </si>
  <si>
    <t>SHOES SH-RC903E, 430, R</t>
  </si>
  <si>
    <t>SHOES SH-RC903E, 450, R</t>
  </si>
  <si>
    <t>FORK 700C SF12-NEX V 63T 04 BLACK</t>
  </si>
  <si>
    <t>Fork</t>
  </si>
  <si>
    <t>FORK 27.5 XCR32-AIR LOR TAPER T120 TA</t>
  </si>
  <si>
    <t>FORK T 27.5 REBA RL AIR 120 TA BOOST, B</t>
  </si>
  <si>
    <t>ROCK SHOX</t>
  </si>
  <si>
    <t>FORK T 27.5 YARI RC DEBON 180 TA BOOST,B</t>
  </si>
  <si>
    <t>FORK 27.5 LYRIK RC2 DEBON 180 TA BOOST,R</t>
  </si>
  <si>
    <t>FORK T 27.5 PIKE SLC RC2 150 37 TA BOOST</t>
  </si>
  <si>
    <t>FORK 27.5 DOMAIN RC 160 TA BOOST, B</t>
  </si>
  <si>
    <t>FRM KIT INFINITO DISC CV, 530, GB</t>
  </si>
  <si>
    <t>BIANCHI</t>
  </si>
  <si>
    <t>Frame Kits</t>
  </si>
  <si>
    <t>FRM KIT OLTRE XR4 DISC CV Y21, 530, GB</t>
  </si>
  <si>
    <t>FRM KIT OLTRE XR4 DISC CV Y21, 550, GB</t>
  </si>
  <si>
    <t>FRM KIT SPECIALISSIMA DISC Y22, 470, G</t>
  </si>
  <si>
    <t>FRAME + FORK SWISS CROSS DISC V2, M, B</t>
  </si>
  <si>
    <t>FRAME + FORK  OUTBACK V2, S2, 3GW</t>
  </si>
  <si>
    <t>FRM + FORK RA ROADLOGIC DISC, 530, BE</t>
  </si>
  <si>
    <t>FRAME + FORK OUTBACK 2023, S2, EW</t>
  </si>
  <si>
    <t>BUSHING SET FOR FRAME SUSPENSION</t>
  </si>
  <si>
    <t>Frame Other Parts</t>
  </si>
  <si>
    <t>REAR SHOCK HWARE 1/2X1/2 22.2X10MM 3PCS</t>
  </si>
  <si>
    <t>REAR SHOCK HWARE 1/2X1/2 22.2X8MM 3PCS</t>
  </si>
  <si>
    <t>AXLE MAXLE LITE 15X100 LENGTH 148MM</t>
  </si>
  <si>
    <t>AXLE MAXLE ULTIMATE 15X100 LENGTH 148MM</t>
  </si>
  <si>
    <t>AXLE MAXLE STEALTH 15X100 LENGTH 148MM</t>
  </si>
  <si>
    <t>AXLE MAXLE DH 20X110 LENGTH 165MM</t>
  </si>
  <si>
    <t>AXLE MAXLE LITE 15X110 LENGH 158MM BOOST</t>
  </si>
  <si>
    <t>AXLE MAXLE ULTIMATE 15X110 158MM BOOST</t>
  </si>
  <si>
    <t>FRAME LATCH KIT-OCL JOINT GEN 2, S</t>
  </si>
  <si>
    <t>RD BRACKET F/TERN, B</t>
  </si>
  <si>
    <t>Frame Rear End</t>
  </si>
  <si>
    <t>REAR END LINK D16 / VERGE N8-X10-X20, S</t>
  </si>
  <si>
    <t>FD XTR KFDM9025D6 DSDP DIRECT MOUNT, 0</t>
  </si>
  <si>
    <t>FD XTR KFDM9025ED6X TSDP, E</t>
  </si>
  <si>
    <t>FD XTR KFDM9025HM6 DSDP, M</t>
  </si>
  <si>
    <t>ADAPTER FD ISMFD905HX HIGH, SML</t>
  </si>
  <si>
    <t>ADAPTER FD ISMFD905LX LOW, SML</t>
  </si>
  <si>
    <t>ADAPTER FD KSMFD905D DIRECT MOUNT, 0</t>
  </si>
  <si>
    <t>ADAPTER FD KSMFD905E, E</t>
  </si>
  <si>
    <t>ADAPTER FD KSMFD905HM HIGH, M</t>
  </si>
  <si>
    <t>ADAPTER FD KSMFD905LM LOW, M</t>
  </si>
  <si>
    <t>FD XTR DI2 KFDM9050 F/ 40T, 0</t>
  </si>
  <si>
    <t>FD XTR KFDM9020D6 SSSP DIRECT MOUNT, 0</t>
  </si>
  <si>
    <t>FD XTR KFDM9020HM6 SSSP HIGH, M</t>
  </si>
  <si>
    <t>FD DEORE KFDM610E6X DIRECT MOUNT TSDP, B</t>
  </si>
  <si>
    <t>FD DURAACE DI2 KFD9070F, 0</t>
  </si>
  <si>
    <t>FD XT KFDM8025D6 D.MOUNT DSDP, B</t>
  </si>
  <si>
    <t>FD XT KFDM8025ED6X E-TYPE TSDP, B</t>
  </si>
  <si>
    <t>FD XT KFDM8025LDM6 TSDP LOW, B, M</t>
  </si>
  <si>
    <t>FD TIAGRA KFD4703F BRAZE-ON, B, ML</t>
  </si>
  <si>
    <t>FD TIAGRA IFD4700F, B</t>
  </si>
  <si>
    <t>FD DEORE KFDM612D6 SSFP D.MOUNT, 0</t>
  </si>
  <si>
    <t>FD XT DI2 IFDM8070 DS, 0</t>
  </si>
  <si>
    <t>FD XTR IFDM9000D6 SSFP D.MOUNT, 0</t>
  </si>
  <si>
    <t>FD XTR IFDM9000LX6 SSFP LOW, SML</t>
  </si>
  <si>
    <t>FD DEORE KFDM6025HM6 DSDP, L</t>
  </si>
  <si>
    <t>FD SLX KFDM702011D6 SSFP D.MOUNT, 0</t>
  </si>
  <si>
    <t>FD SLX KFDM702511D6 DSDP D.MOUNT, 0</t>
  </si>
  <si>
    <t>FD SLX KFDM702511E6X TSDP E-TYPE, 0</t>
  </si>
  <si>
    <t>FD SLX KFDM700510LM6 TSDP LOW, M</t>
  </si>
  <si>
    <t>FD XT KFDM8100D6 SSFP D.MOUNT, 0</t>
  </si>
  <si>
    <t>FD XT KFDM8100MM6 BAND-TYPE, M</t>
  </si>
  <si>
    <t>FD DEORE KFDM4100MM4 SSFP MID CLAMP, M</t>
  </si>
  <si>
    <t>FD ACERA AFDM3000TSM6 TSDP, M</t>
  </si>
  <si>
    <t>FD DEORE IFDM4100MX4 SSFP MID CLAMP, 0</t>
  </si>
  <si>
    <t>FD DEORE IFDM5100E4 SSFP E-TYPE, 0</t>
  </si>
  <si>
    <t>FD DEORE IFDM5100MX4 SSFP MID CLAMP, 0</t>
  </si>
  <si>
    <t>FD DEORE KFDM5100MM4 SSFP MID CLAMP, M</t>
  </si>
  <si>
    <t>FD ACERA AFDT3000TSM6 TSDP, M</t>
  </si>
  <si>
    <t>FD ACERA EFDM3000TSX6 40T TSDP, 0</t>
  </si>
  <si>
    <t>FD SORA EFDR3030F BRAZE ON, 0</t>
  </si>
  <si>
    <t>FD TIAGRA IFD4703F BRAZE ON, 0</t>
  </si>
  <si>
    <t>FD DEORE KFDM4100E4 SSFP E.TYPE, 0</t>
  </si>
  <si>
    <t>GLOVES AM ARELI, L1, BR</t>
  </si>
  <si>
    <t>GLOVES AM ARELI, L2, BR</t>
  </si>
  <si>
    <t>GLOVES AM ARELI, M, BR</t>
  </si>
  <si>
    <t>GLOVES XC BEVAL, M, L</t>
  </si>
  <si>
    <t>GLOVES XC MISTY, S1, B</t>
  </si>
  <si>
    <t>GLOVES XC MISTY, S1, R</t>
  </si>
  <si>
    <t>GLOVES XC MISTY, M, R</t>
  </si>
  <si>
    <t>GLOVES XC MISTY, L1, R</t>
  </si>
  <si>
    <t>GLOVES XC MISTY, L2, R</t>
  </si>
  <si>
    <t>GLOVES XC MISTY, S1, 1G</t>
  </si>
  <si>
    <t>GLOVES XC MISTY, M, 1G</t>
  </si>
  <si>
    <t>GLOVES XC MISTY, L1, 1G</t>
  </si>
  <si>
    <t>GLOVES XC MISTY, S1, P</t>
  </si>
  <si>
    <t>GLOVES XC MISTY, M, P</t>
  </si>
  <si>
    <t>GLOVES XC MISTY, L1, P</t>
  </si>
  <si>
    <t>GLOVES XC MISTY, S1, 1L</t>
  </si>
  <si>
    <t>GLOVES XC MISTY, M, 1L</t>
  </si>
  <si>
    <t>GLOVES AM DURANGO II, M, R</t>
  </si>
  <si>
    <t>GLOVES AM DURANGO II, L1, R</t>
  </si>
  <si>
    <t>GLOVES AM DURANGO II, L2, R</t>
  </si>
  <si>
    <t>GLOVES AM DURANGO II, M, WE</t>
  </si>
  <si>
    <t>GLOVES AM DURANGO II, L1, WE</t>
  </si>
  <si>
    <t>GLOVES AM DURANGO II, L2, WE</t>
  </si>
  <si>
    <t>GLOVES ROAD RACLER II, S1, W1L</t>
  </si>
  <si>
    <t>GLOVES ROAD RACLER II, M, O</t>
  </si>
  <si>
    <t>GLOVES ROAD RACLER II, L1, O</t>
  </si>
  <si>
    <t>GLOVES VALUE ECWGLBSRS51Y, M, R</t>
  </si>
  <si>
    <t>GLOVES ESCAPE ECWGLBSTS21M, M, R</t>
  </si>
  <si>
    <t>GLOVES ESCAPE ECWGLBSTS21M, L1, R</t>
  </si>
  <si>
    <t>GLOVES ADVANCED ECWGLBSUS21M, L1, B</t>
  </si>
  <si>
    <t>GLOVES ADVANCED ECWGLBSUS21M, L1, W</t>
  </si>
  <si>
    <t>GLOVES ADVANCED ECWGLBSVS41M, L1, E</t>
  </si>
  <si>
    <t>GLOVES ADVANCED ECWGLBSVS41M, M, R</t>
  </si>
  <si>
    <t>GLOVES ADVANCED ECWGLBSVS41M, L1, R</t>
  </si>
  <si>
    <t>GLOVES ESCAPE ECWGLBSVS21M, L1, W</t>
  </si>
  <si>
    <t>GLOVES CLASSIC ECWGLBSTS11M, L1, L</t>
  </si>
  <si>
    <t>GLOVES AM STRIPE, M, BR</t>
  </si>
  <si>
    <t>GLOVES AM STRIPE, L2, BR</t>
  </si>
  <si>
    <t>GLOVES ROAD BASIC II, S1, B</t>
  </si>
  <si>
    <t>GLOVES ROAD BASIC II, M, 1G</t>
  </si>
  <si>
    <t>GLOVES ROAD BASIC II, L1, 1G</t>
  </si>
  <si>
    <t>GLOVES ROAD BASIC II, L2, 1G</t>
  </si>
  <si>
    <t>GLOVES ROAD BASIC II, S1, 2R</t>
  </si>
  <si>
    <t>GLOVES ROAD BASIC II, M, 2R</t>
  </si>
  <si>
    <t>GLOVES ROAD BASIC II, M, LB</t>
  </si>
  <si>
    <t>GLOVES AM CAMO, M, 1E</t>
  </si>
  <si>
    <t>GLOVES AM CAMO, L1, 1E</t>
  </si>
  <si>
    <t>GLOVES AM CAMO, L2, 1E</t>
  </si>
  <si>
    <t>GLOVES AM CAMO, M, 2G</t>
  </si>
  <si>
    <t>GLOVES AM CAMO, L1, 2G</t>
  </si>
  <si>
    <t>GLOVES AM CAMO, L2, 2G</t>
  </si>
  <si>
    <t>GLOVES ROAD ACE, L2, 1PW</t>
  </si>
  <si>
    <t>GLOVES ROAD ACE, S1, 1GW</t>
  </si>
  <si>
    <t>GLOVES ROAD ACE, M, 1GW</t>
  </si>
  <si>
    <t>GLOVES ROAD ACE, S1, R</t>
  </si>
  <si>
    <t>GLOVES XC ALPHA, S1, R</t>
  </si>
  <si>
    <t>GLOVES XC ALPHA, M, R</t>
  </si>
  <si>
    <t>H.GRIP KR L/L 03, B</t>
  </si>
  <si>
    <t>H.GRIP KR L/L 02, B</t>
  </si>
  <si>
    <t>H.GRIP L/L 07, BE</t>
  </si>
  <si>
    <t>H.GRIP FOAM LOCK 132MM, B</t>
  </si>
  <si>
    <t>H.GRIP LOCK ON SPORT 132.5MM, B</t>
  </si>
  <si>
    <t>H.GRIP DUAL LOCK SPORT 132.5MM, B</t>
  </si>
  <si>
    <t>H. STEM EXP 31.8/7DEG/90MM Y21, BR</t>
  </si>
  <si>
    <t>H. STEM EXP 31.8/7DEG/100MM Y21, BR</t>
  </si>
  <si>
    <t>H. STEM EXP 31.8/7DEG/100MM Y21, BE</t>
  </si>
  <si>
    <t>H. STEM EXP 31.8/7DEG/110MM Y21, BR</t>
  </si>
  <si>
    <t>H. STEM EXP 31.8/7DEG/110MM Y21, BE</t>
  </si>
  <si>
    <t>H.STEM MTB KORYAK DI2 31.8X90MM, B</t>
  </si>
  <si>
    <t>H.STEM VIBE CARBON 100X31.8/-8 ANGLE, B</t>
  </si>
  <si>
    <t>H.STEM SPLIT 35/35MM, B</t>
  </si>
  <si>
    <t>SPANK</t>
  </si>
  <si>
    <t>H.STEM SPLIT 35/45MM, B</t>
  </si>
  <si>
    <t>H.STEM SPLIT 31.8X33MM, B</t>
  </si>
  <si>
    <t>H.STEM SPLIT 31.8X33MM, BR</t>
  </si>
  <si>
    <t>H.STEM SPLIT 31.8X38MM, B</t>
  </si>
  <si>
    <t>H.STEM SPLIT 31.8X43MM, B</t>
  </si>
  <si>
    <t>H.STEM SPLIT 35X40MM, B</t>
  </si>
  <si>
    <t>H.STEM SPLIT 35X40MM, BG</t>
  </si>
  <si>
    <t>H.STEM SPLIT 35X50MM, B</t>
  </si>
  <si>
    <t>H.STEM SPLIT 35X50MM, BR</t>
  </si>
  <si>
    <t>H.STEM SPIKE DIRECTOR 2 31.8X50MM, B</t>
  </si>
  <si>
    <t>H.STEM SPIKE RACE 2 31.8X35MM, B</t>
  </si>
  <si>
    <t>H.STEM SPIKE RACE 2 31.8X35MM, R</t>
  </si>
  <si>
    <t>H.STEM SPIKE RACE 2 31.8X50MM, B</t>
  </si>
  <si>
    <t>H.STEM SPIKE RACE 2 31.8X50MM, R</t>
  </si>
  <si>
    <t>H.STEM SPOON 318 31.8X43MM, B</t>
  </si>
  <si>
    <t>H.STEM SPOON 2 31.8X40MM, B</t>
  </si>
  <si>
    <t>H.STEM SPOON 2 31.8X40MM, L</t>
  </si>
  <si>
    <t>H.STEM SYNTACE VRO 47 F/FOLDING, B</t>
  </si>
  <si>
    <t>H.STEM SYNTACE VRO 47 F/FOLDING, L</t>
  </si>
  <si>
    <t>H.BAR ROAD EXPERT 31.8/400MM/R75, BR</t>
  </si>
  <si>
    <t>H.BAR MTB EXP 31.8/12/6/780 Y21, BR</t>
  </si>
  <si>
    <t>H.BAR MTB EXP 31.8/12/6/780 Y21, BE</t>
  </si>
  <si>
    <t>H.BAR MTB EXP 31.8/45/6/700 Y21, BR</t>
  </si>
  <si>
    <t>H.BAR MTB EXP 31.8/45/6/700 Y21, BE</t>
  </si>
  <si>
    <t>H.BAR ROAD EXP 31.8/400MM/R77 Y21, BR</t>
  </si>
  <si>
    <t>H.BAR ROAD EXP 31.8/400MM/R77 Y21, BE</t>
  </si>
  <si>
    <t>H.BAR ROAD EXP 31.8/420MM/R80 Y21, BR</t>
  </si>
  <si>
    <t>H.BAR ROAD EXP 31.8/420MM/R80 Y21, BE</t>
  </si>
  <si>
    <t>H.BAR ROAD EXP FL 31.8/400MM/R80 Y21, BR</t>
  </si>
  <si>
    <t>H.BAR ROAD EXP FL 31.8/400MM/R80 Y21, BE</t>
  </si>
  <si>
    <t>H.BAR ROAD EXP FL 31.8/420MM/R80 Y21, BR</t>
  </si>
  <si>
    <t>H.BAR ROAD EXP FL 31.8/420MM/R80 Y21, BE</t>
  </si>
  <si>
    <t>H.BAR MTB EXP 31.8/12/6/780 Y22, BR</t>
  </si>
  <si>
    <t>H.BAR MTB EXP 31.8/12/6/780 Y22, BE</t>
  </si>
  <si>
    <t>H.BAR ROAD EXP 31.8/400MM/R77 Y22, BR</t>
  </si>
  <si>
    <t>H.BAR ROAD EXP 31.8/400MM/R77 Y22, BE</t>
  </si>
  <si>
    <t>H.BAR ROAD EXP 31.8/420MM/R77 Y22, BR</t>
  </si>
  <si>
    <t>H.BAR ROAD EXP 31.8/420MM/R77 Y22, BE</t>
  </si>
  <si>
    <t>H.BAR ROAD EXP FL 31.8/420MM/R85 Y22, BR</t>
  </si>
  <si>
    <t>HANDLE POST 28.6MM W/ ADJUSTABLE STEM</t>
  </si>
  <si>
    <t>H.BAR VIBE S.LIGHT COMP 42CM /31.8MM,B</t>
  </si>
  <si>
    <t>H.BAR VIBE ANATOMIC CRB 40CM/31.8MM</t>
  </si>
  <si>
    <t>H.BAR MTB WCS RIZER CRB 31.8/15/740MM, F</t>
  </si>
  <si>
    <t>H.BAR MTB WCS TRAIL RIZER 31.8/20/800,B</t>
  </si>
  <si>
    <t>H.BAR MTB WCS TRAIL RIZER 31.8/30/800,B</t>
  </si>
  <si>
    <t>H.BAR MTB WCS 2X CRB 31.8X740MM, F</t>
  </si>
  <si>
    <t>H.BAR MTB WCS TRAIL RIZER 31.8/15/780, F</t>
  </si>
  <si>
    <t>H.BAR ROAD WCS EVO CURVE 31.8X400MM,B</t>
  </si>
  <si>
    <t>H.BAR ROAD WCS EVO CURVE 31.8X420MM,B</t>
  </si>
  <si>
    <t>H.BAR ROAD WCS EVO CURVE 31.8X440MM,B</t>
  </si>
  <si>
    <t>H.BAR ROAD WCS STREEM IR 31.8X440MM,B</t>
  </si>
  <si>
    <t>H.BAR ROAD WCS EVO CURVE CRB 31.8X400,F</t>
  </si>
  <si>
    <t>H.BAR ROAD WCS EVO CURVE CRB 31.8X420,F</t>
  </si>
  <si>
    <t>H.BAR ROAD WCS EVO CURVE CRB 31.8X440,F</t>
  </si>
  <si>
    <t>H.BAR SPIKE VIBROCORE 35/25/820MM, B</t>
  </si>
  <si>
    <t>H.BAR SPIKE 31.8/30/800MM, B</t>
  </si>
  <si>
    <t>H.BAR SPIKE 31.8/30/800MM, G</t>
  </si>
  <si>
    <t>H.BAR SPIKE 31.8/30/800MM, R</t>
  </si>
  <si>
    <t>H.BAR SPIKE VIBROCORE 31.8/30/800MM, BW</t>
  </si>
  <si>
    <t>H.BAR SPIKE VIBROCORE 31.8/30/800MM, BO</t>
  </si>
  <si>
    <t>H.BAR OOZY 35/25/780MM, B</t>
  </si>
  <si>
    <t>H.BAR SPIKE VIBROCORE 31.8/15/800MM, BW</t>
  </si>
  <si>
    <t>H.BAR SPIKE VIBROCORE 31.8/15/800MM, B</t>
  </si>
  <si>
    <t>H.BAR SPIKE VIBROCORE 31.8/30/800MM, B</t>
  </si>
  <si>
    <t>H.BAR OOZY VIBROCORE 31.8/15/780MM, BE</t>
  </si>
  <si>
    <t>H.BAR OOZY VIBROCORE 31.8/25/780MM, BE</t>
  </si>
  <si>
    <t>H.BAR SPIKE 31.8/15/800MM, B</t>
  </si>
  <si>
    <t>H.BAR SPIKE 31.8/30/800MM LTD EDITION, B</t>
  </si>
  <si>
    <t>H.BAR SPIKE 31.8/50/800MM, B</t>
  </si>
  <si>
    <t>H.BAR SPOON 31.8/25/785MM, B</t>
  </si>
  <si>
    <t>H.BAR SPOON 31.8/20/800MM, B</t>
  </si>
  <si>
    <t>H.BAR SPOON 31.8/20/800MM, BR</t>
  </si>
  <si>
    <t>H.BAR SPOON 35/25/800MM, B</t>
  </si>
  <si>
    <t>H.BAR SPOON 35/40/800MM, B</t>
  </si>
  <si>
    <t>H.BAR SPOON 35/40/800MM, BR</t>
  </si>
  <si>
    <t>STAR NUT TH-375-1 1, B</t>
  </si>
  <si>
    <t>FSA</t>
  </si>
  <si>
    <t>Head Set and Parts</t>
  </si>
  <si>
    <t>STAR NUT TH-875-1 1-1/8, B</t>
  </si>
  <si>
    <t>STAR NUT TH-875-1 1-1/8, F</t>
  </si>
  <si>
    <t>XH-PART SPC-WSH 25.4X10MM ALLOY</t>
  </si>
  <si>
    <t>XSPACER WASHER 25.4X10MM</t>
  </si>
  <si>
    <t>H.SET COMP PRESS FIT TAPER 28.6MM, B</t>
  </si>
  <si>
    <t>H.SET COMP DROP IN CARTRIDGE TAPER, B</t>
  </si>
  <si>
    <t>H.SET COMP DROP IN CARTRIDGE, B</t>
  </si>
  <si>
    <t>H.SET LOWER COMP CTDG PRESS FIT ZS44/50</t>
  </si>
  <si>
    <t>H.SET LOWER COMP CTDG PRESS FIT ZS55/61</t>
  </si>
  <si>
    <t>H.SET UPPER COMP CTDG PRESS FIT ZS44 7.3</t>
  </si>
  <si>
    <t>H.SET LOWER COMP CTDG DROP IN IS47/52</t>
  </si>
  <si>
    <t>H.SET LOWER COMP CTDG PRESS FIT ZS49/55</t>
  </si>
  <si>
    <t>H.SET UPPER COMP CTDG PRESFIT ZS44 12.4</t>
  </si>
  <si>
    <t>SPACER KIT 3/6/12MM, B</t>
  </si>
  <si>
    <t>SPACER KIT 3/6/12MM, L</t>
  </si>
  <si>
    <t>SPACER KIT 3/6/12MM, P</t>
  </si>
  <si>
    <t>SPACER KIT 3/6/12MM, G</t>
  </si>
  <si>
    <t>HELMET GAMECHANGER, L1, SB</t>
  </si>
  <si>
    <t>HELMET GAMECHANGER, L1, BD</t>
  </si>
  <si>
    <t>HELMET AIRBREAKER, M, 2E</t>
  </si>
  <si>
    <t>HELMET AVENTOR, L1, 3BB</t>
  </si>
  <si>
    <t>HELMET STORMCHASER, M, 3BB</t>
  </si>
  <si>
    <t>HELMET STORMCHASER, L1, 3BB</t>
  </si>
  <si>
    <t>HELMET STORMCHASER, L1, T</t>
  </si>
  <si>
    <t>HELMET HYBAN 2.0, M, 3BB</t>
  </si>
  <si>
    <t>HELMET HYBAN 2.0, M, W</t>
  </si>
  <si>
    <t>HELMET HYBAN 2.0, M, G</t>
  </si>
  <si>
    <t>HELMET HYBAN 2.0, M, T</t>
  </si>
  <si>
    <t>HELMET HYBAN 2.0 ACE, M, W</t>
  </si>
  <si>
    <t>HELMET YADD-I BRILLIANT, M, 1K</t>
  </si>
  <si>
    <t>HELMET YADD-I STREAK, M, W</t>
  </si>
  <si>
    <t>HELMET YADD-I STREAK, L1, W</t>
  </si>
  <si>
    <t>LIFEBEAM GEAR KIT, 0, 0</t>
  </si>
  <si>
    <t>HELMET Z1 TEAM KC AF T, S1, BLW</t>
  </si>
  <si>
    <t>HELMET GENESIS AF T, L1, W</t>
  </si>
  <si>
    <t>HELMET GENESIS AF T, L1, RB</t>
  </si>
  <si>
    <t>HELMET GENESIS AF T, L1, 3T</t>
  </si>
  <si>
    <t>HELMET CHIRU T, M, 3R</t>
  </si>
  <si>
    <t>HELMET CHIRU T, M, 3L</t>
  </si>
  <si>
    <t>HELMET CHIRU T, M, 3G</t>
  </si>
  <si>
    <t>HELMET CHIRU T, S1, 3G</t>
  </si>
  <si>
    <t>HELMET CHIRU T, L1, 3R</t>
  </si>
  <si>
    <t>HELMET CHIRU T, L1, 3G</t>
  </si>
  <si>
    <t>HELMET COYOTE T, M, 3RB</t>
  </si>
  <si>
    <t>HELMET IMPALA T, M, 3B</t>
  </si>
  <si>
    <t>HELMET IMPALA T, L1, 3B</t>
  </si>
  <si>
    <t>HELMET GENESIS AF U, L1, LB</t>
  </si>
  <si>
    <t>HELMET IMPALA U, M, 3E</t>
  </si>
  <si>
    <t>HELMET IMPALA U, M, 3L</t>
  </si>
  <si>
    <t>HELMET SPHERE U, L1, BK</t>
  </si>
  <si>
    <t>HELMET SPHERE MIPS U, S1, LPK</t>
  </si>
  <si>
    <t>HELMET SPHERE MIPS U, L1, R</t>
  </si>
  <si>
    <t>HELMET TONIC V, M, 1L</t>
  </si>
  <si>
    <t>HELMET VENTO AF V, L1, W</t>
  </si>
  <si>
    <t>HELMET VENTO AF V, M, W</t>
  </si>
  <si>
    <t>HELMET VENTO AF V, M, 3T</t>
  </si>
  <si>
    <t>HELMET VENTO AF V, S1, 3T</t>
  </si>
  <si>
    <t>HELMET VENTO AF V, S1, BS</t>
  </si>
  <si>
    <t>HELMET STRADA KC AF V, M, 3B</t>
  </si>
  <si>
    <t>HELMET STRADA KC AF V, S1, 3B</t>
  </si>
  <si>
    <t>HELMET STRADA KC AF V, S1, 3T</t>
  </si>
  <si>
    <t>HELMET STRADA KC AF V, M, 1L</t>
  </si>
  <si>
    <t>HELMET STRADA KC AF V, S1, 1L</t>
  </si>
  <si>
    <t>HELMET STRADA KC AF V, L1, 1L</t>
  </si>
  <si>
    <t>HELMET VENTO KC AF, L1, L</t>
  </si>
  <si>
    <t>HELMET VENTO KC AF, M, L</t>
  </si>
  <si>
    <t>HELMET VENTO KC AF, S1, L</t>
  </si>
  <si>
    <t>HELMET STRADA KC, L1, L</t>
  </si>
  <si>
    <t>HELMET STRADA KC, S1, L</t>
  </si>
  <si>
    <t>HELMET BOLT, L1, 3YE</t>
  </si>
  <si>
    <t>HELMET BOLT, L1, 3BY</t>
  </si>
  <si>
    <t>HELMET PIXEL, L1, 3EG</t>
  </si>
  <si>
    <t>HELMET PIXEL, L1, 3LR</t>
  </si>
  <si>
    <t>HELMET MOXIE, L1, 3G</t>
  </si>
  <si>
    <t>HELMET MOXIE, L1, 3P</t>
  </si>
  <si>
    <t>HELMET MOXIE, M, 3P</t>
  </si>
  <si>
    <t>HELMET MOXIE, L1, 3R</t>
  </si>
  <si>
    <t>HELMET MOXIE, L1, 3I</t>
  </si>
  <si>
    <t>HELMET KIDS ARMY, M, G</t>
  </si>
  <si>
    <t>HELMET KIDS ARMY, S1, G</t>
  </si>
  <si>
    <t>HELMET AXEL, L1, LP</t>
  </si>
  <si>
    <t>HELMET AXEL, L1, 3R</t>
  </si>
  <si>
    <t>HELMET AXEL, M, 3R</t>
  </si>
  <si>
    <t>HELMET ROAD LANCER, L1, L1L</t>
  </si>
  <si>
    <t>HELMET ROAD LANCER, L1, BR</t>
  </si>
  <si>
    <t>HELMET ROAD LANCER, M, GB</t>
  </si>
  <si>
    <t>HELMET ROAD LANCER, L1, GB</t>
  </si>
  <si>
    <t>HELMET URBAN HABEN II, M, BG</t>
  </si>
  <si>
    <t>HELMET URBAN HABEN II, L1, BG</t>
  </si>
  <si>
    <t>HELMET URBAN HABEN II, M, R</t>
  </si>
  <si>
    <t>HELMET URBAN HABEN II, M, L</t>
  </si>
  <si>
    <t>HELMET URBAN HABEN II, L1, L</t>
  </si>
  <si>
    <t>HELMET URBAN HABEN II, M, 1EI</t>
  </si>
  <si>
    <t>HELMET URBAN HABEN II, L1, 1EI</t>
  </si>
  <si>
    <t>HELMET BMX ATHON II, L1, B</t>
  </si>
  <si>
    <t>HELMET BMX ATHON II, L1, 2L</t>
  </si>
  <si>
    <t>HELMET BMX ATHON II, L1, 2GO</t>
  </si>
  <si>
    <t>HELMET BMX ATHON II, M, B</t>
  </si>
  <si>
    <t>HELMET BMX ATHON II, M, 2GO</t>
  </si>
  <si>
    <t>HELMET BMX ATHON II, M, 2L</t>
  </si>
  <si>
    <t>HELMET MTB GART II, L1, B</t>
  </si>
  <si>
    <t>HELMET MTB GART II, L1, 2G</t>
  </si>
  <si>
    <t>HELMET MTB GART II, M, 2G</t>
  </si>
  <si>
    <t>HUB REAR DC-31 ALLOY 7-SP QR 6BT, F32, B</t>
  </si>
  <si>
    <t>HUB FRONT FM-21 ALLOY, F28, S</t>
  </si>
  <si>
    <t>HUB REAR FM-31 ALLOY NUT, F28, S</t>
  </si>
  <si>
    <t>HUB REAR JY-754 ALLOY NUT, R28, S</t>
  </si>
  <si>
    <t>HUB FRONT FH-406 FOR MONARCH, 32, B</t>
  </si>
  <si>
    <t>HUB TOURNEY TX AHBTX800BAL, F32, B</t>
  </si>
  <si>
    <t>HUB XTR AHBM9110B CL TA15/100, 32, B</t>
  </si>
  <si>
    <t>HUB TNEY TX AHBTX500AAS, F36, S</t>
  </si>
  <si>
    <t>F.HUB SLX AFHM7110B CL TA12/142, R32, B</t>
  </si>
  <si>
    <t>F.HUB XT AFHM8110B CL TA12/142, R32, B</t>
  </si>
  <si>
    <t>HUB SLX AHBM7110BX CL TA15/100, F32, B</t>
  </si>
  <si>
    <t>HUB XT AHBM8110BX CL TA15/100, F32, B</t>
  </si>
  <si>
    <t>F.HUB XTR AFHM9111B CL TA12/142, 32, B</t>
  </si>
  <si>
    <t>F.HUB XTR AFHM9111BX CL TA12/142, 32, 0</t>
  </si>
  <si>
    <t>FREEHUB AFHMT410B 12S TA12/142 CL, 32, B</t>
  </si>
  <si>
    <t>FREEHUB AFHMT410B 12S TA12/148 CL, 32, B</t>
  </si>
  <si>
    <t>HUB AHBMT410B TA15/100 CL, 32, B</t>
  </si>
  <si>
    <t>HUB AHBMT410BB TA15/110 CL, 32, B</t>
  </si>
  <si>
    <t>F.HUB EFHMT401BB41A CL 12SP QR/14, 32, B</t>
  </si>
  <si>
    <t>F.HUB EFHMT401BZB CL 12SP QR/135, 32, B</t>
  </si>
  <si>
    <t>F.HUB EFHMT410B CL 12SP TA12/142, 32, B</t>
  </si>
  <si>
    <t>F.HUB EFHMT410BB CL 12SP TA12/148, 32, B</t>
  </si>
  <si>
    <t>F.HUB AFHMT401BZB 12S QR/135 CL, 32, B</t>
  </si>
  <si>
    <t>F.HUB AFHMT401BB41B 12S QR/141 CL, 32, B</t>
  </si>
  <si>
    <t>F.HUB AFHMT500BB41AL 12 QR/141 CL, 32, 0</t>
  </si>
  <si>
    <t>JERSEY ROAD RION, S1, B</t>
  </si>
  <si>
    <t>JERSEY ROAD RION, M, P</t>
  </si>
  <si>
    <t>JERSEY AM STEELE SS, L3, 2GR</t>
  </si>
  <si>
    <t>JERSEY AM DURON LS, M, BKY</t>
  </si>
  <si>
    <t>JERSEY ROAD RACLER II, S1, W1L</t>
  </si>
  <si>
    <t>JERSEY ROAD RACLER II, S2, B</t>
  </si>
  <si>
    <t>JERSEY ROAD RACLER II, S2, W1L</t>
  </si>
  <si>
    <t>JERSEY ROAD GAVI, S1, N</t>
  </si>
  <si>
    <t>JERSEY ROAD GAVI, S1, W1K</t>
  </si>
  <si>
    <t>JERSEY ROAD RION II, S1, B</t>
  </si>
  <si>
    <t>JERSEY ROAD RION II, S1, W1L</t>
  </si>
  <si>
    <t>JERSEY ROAD RION II, S3, B</t>
  </si>
  <si>
    <t>JERSEY ROAD RION II, S2, B</t>
  </si>
  <si>
    <t>JERSEY ROAD RION II, S2, R</t>
  </si>
  <si>
    <t>JERSEY S-PHYRE LEG PCWJSRSUS15M, L3, E</t>
  </si>
  <si>
    <t>JERSEY AM CHASE II 3/4 S, L2, 2EG</t>
  </si>
  <si>
    <t>JERSEY AM CHASE II 3/4 S, M, L</t>
  </si>
  <si>
    <t>JERSEY AM RAGNAR II LS, L2, BG</t>
  </si>
  <si>
    <t>JERSEY ROAD ERON III, S1, WP</t>
  </si>
  <si>
    <t>JERSEY ROAD ERON III, M, WP</t>
  </si>
  <si>
    <t>JERSEY ROAD ERON III, S1, BE</t>
  </si>
  <si>
    <t>JERSEY ROAD GERVA, S1, BK</t>
  </si>
  <si>
    <t>JERSEY ROAD ACE, S1, 1GW</t>
  </si>
  <si>
    <t>JERSEY ROAD ACE, S1, R</t>
  </si>
  <si>
    <t>JERSEY ROAD ACE, S2, 1PW</t>
  </si>
  <si>
    <t>JERSEY ROAD ACE, S2, 1GW</t>
  </si>
  <si>
    <t>JERSEY ROAD ACE, S2, B</t>
  </si>
  <si>
    <t>JERSEY ROAD ACE, S2, R</t>
  </si>
  <si>
    <t>JERSEY ROAD ACE, S3, 2L</t>
  </si>
  <si>
    <t>JERSEY ROAD ACE, S2, 2R</t>
  </si>
  <si>
    <t>JERSEY ROAD ACE, S1, 2R</t>
  </si>
  <si>
    <t>JERSEY ROAD URBAN, S2, 2G</t>
  </si>
  <si>
    <t>JERSEY ROAD URBAN, S3, W</t>
  </si>
  <si>
    <t>JERSEY ROAD URBAN, S1, W</t>
  </si>
  <si>
    <t>JERSEY ROAD URBAN, S3, 1G</t>
  </si>
  <si>
    <t>JERSEY ROAD URBAN, S2, 1G</t>
  </si>
  <si>
    <t>JERSEY ROAD URBAN, S1, 1G</t>
  </si>
  <si>
    <t>JERSEY ROAD URBAN, S3, B</t>
  </si>
  <si>
    <t>JERSEY ROAD URBAN, S2, B</t>
  </si>
  <si>
    <t>JERSEY ROAD ERON IV, S2, B</t>
  </si>
  <si>
    <t>JERSEY ROAD ERON IV, S2, 1G</t>
  </si>
  <si>
    <t>JERSEY ROAD DOTS, S1, W</t>
  </si>
  <si>
    <t>JERSEY ROAD GRAF SS, S3, B</t>
  </si>
  <si>
    <t>JERSEY ROAD GRAF SS, S2, B</t>
  </si>
  <si>
    <t>JERSEY ROAD GRAF SS, S2, 2O</t>
  </si>
  <si>
    <t>JERSEY ROAD GRAF SS, S1, 2O</t>
  </si>
  <si>
    <t>JERSEY ROAD GRAF SS, S3, M</t>
  </si>
  <si>
    <t>JERSEY ROAD GRAF SS, S2, M</t>
  </si>
  <si>
    <t>JERSEY ROAD GRAF SS, M, M</t>
  </si>
  <si>
    <t>JERSEY ROAD GRAF SS, L1, M</t>
  </si>
  <si>
    <t>JERSEY ROAD GRAF LS, S3, 2O</t>
  </si>
  <si>
    <t>JERSEY ROAD GRAF LS, S2, 2O</t>
  </si>
  <si>
    <t>JERSEY ROAD GRAF LS, S3, M</t>
  </si>
  <si>
    <t>JERSEY ROAD GRAF LS, S2, M</t>
  </si>
  <si>
    <t>F.LAMP HL45 400L, S</t>
  </si>
  <si>
    <t>LAMP SET SENTINEL, B</t>
  </si>
  <si>
    <t>LAMP SET GOMA, B</t>
  </si>
  <si>
    <t>DYNAMO LAMP SET W/ BRACKET, 0</t>
  </si>
  <si>
    <t>LAMP VALO DIRECT, B</t>
  </si>
  <si>
    <t>LEG COOLER FELIC, L1, B</t>
  </si>
  <si>
    <t>LEG COOLER FELIC, L2, B</t>
  </si>
  <si>
    <t>LEG COOLER FELIC, L3, B</t>
  </si>
  <si>
    <t>LEG COOLER FELIC, M, B</t>
  </si>
  <si>
    <t>LOCK 5412C/85/12 BK, 0</t>
  </si>
  <si>
    <t>Lock</t>
  </si>
  <si>
    <t>LOCK TRESORFLEX 6615C W/NUM, B</t>
  </si>
  <si>
    <t>TUBULAR REMOVER 100 ML</t>
  </si>
  <si>
    <t>Lubricant/Maintenanc</t>
  </si>
  <si>
    <t>ADAPTER F/DB DH 180MM BK</t>
  </si>
  <si>
    <t>BENGAL</t>
  </si>
  <si>
    <t>Other Brake Parts</t>
  </si>
  <si>
    <t>BRAKE PADS BP02 SRAM 4 PISTON</t>
  </si>
  <si>
    <t>BRAKE PADS BP01 SRAM 2 PISTON</t>
  </si>
  <si>
    <t>CABLE BRAKE HOUSING CGX #71 SL L:800MM</t>
  </si>
  <si>
    <t>JAG WIRE</t>
  </si>
  <si>
    <t>CABLE BRAKE CEX 5MM,PURPLE#E4,1500MM</t>
  </si>
  <si>
    <t>BRAKE CABLE PLASTIK END CAP 6MM</t>
  </si>
  <si>
    <t>CABLE PROTECTOR VELO 4MM BK PL11</t>
  </si>
  <si>
    <t>CABLE PROTECTOR VELO 5MM BK PL11</t>
  </si>
  <si>
    <t>CABLE BRAKE FOR BMX FREESTYLE</t>
  </si>
  <si>
    <t>PAD F/TEKTRO IO</t>
  </si>
  <si>
    <t>PADS FOR DISC BRAKE ZOOM DB-450</t>
  </si>
  <si>
    <t>BRAKE CABLE FRONT 800MM</t>
  </si>
  <si>
    <t>DISC BRAKE ADAPTER 180MM COLLOSUS DH8/9</t>
  </si>
  <si>
    <t>BRAKE PAD FOR TEKTRO IOX</t>
  </si>
  <si>
    <t>BRAKE SHOE ROAD HJ-405</t>
  </si>
  <si>
    <t>CABLE BRAKE ABCTTYPFLB FRONT 900, B</t>
  </si>
  <si>
    <t>CABLE BRAKE B-TYPE FRONT 670X800, B</t>
  </si>
  <si>
    <t>CABLE BRAKE B-TYPE FRONT 670X800, E</t>
  </si>
  <si>
    <t>CABLE BRAKE B-TYPE REAR 1250X1400, E</t>
  </si>
  <si>
    <t>CABLE BRAKE SET ROAD PTFE Y80098012, W</t>
  </si>
  <si>
    <t>CABLE BRAKE SET ROAD PTFE Y80098013, Y</t>
  </si>
  <si>
    <t>CABLE BRAKE SET ROAD PTFE Y80098014, R</t>
  </si>
  <si>
    <t>CABLE BRAKE SET ROAD PTFE Y80098015, L</t>
  </si>
  <si>
    <t>CABLE BRAKE 7900 FRONT, E</t>
  </si>
  <si>
    <t>CABLE BRAKE 7900 REAR, E</t>
  </si>
  <si>
    <t>CABLE BRAKE SET F/MTB Y80098080</t>
  </si>
  <si>
    <t>CABLE BRAKE SET XTR, B</t>
  </si>
  <si>
    <t>CABLE BRAKE SET XTR, E</t>
  </si>
  <si>
    <t>HOSE F/DBRAKE BR-M525 ISMBH59L130</t>
  </si>
  <si>
    <t>XCABLE BRAKE XTR 300MM HI-TECH GR</t>
  </si>
  <si>
    <t>XCABLE BRAKE KBCM950F W-TYPE FRONT, E</t>
  </si>
  <si>
    <t>XCABLE BRAKE KBCM960F W-TYPE FRONT, B</t>
  </si>
  <si>
    <t>XPADS RESIN F/DBRAKE BRM555</t>
  </si>
  <si>
    <t>XBH Titanium bolts XTR 975 (2pcs)</t>
  </si>
  <si>
    <t>CABLE BRAKE KBC9000RLB DURAACE REAR</t>
  </si>
  <si>
    <t>INNER BRK 2000X20 POLYMER Y8YZ98051</t>
  </si>
  <si>
    <t>INNER BRAKE CABLE FRONT 800MM</t>
  </si>
  <si>
    <t>BRAKE SHOE R50T5 Y8MG98090 5X</t>
  </si>
  <si>
    <t>HOSE F/DBRAKE MTB SM-BH90-SB 1700MM X10</t>
  </si>
  <si>
    <t>TERN SHOPPING BAG</t>
  </si>
  <si>
    <t>Other Non Bike Prod</t>
  </si>
  <si>
    <t>BOTTLE OPENER TERN, B</t>
  </si>
  <si>
    <t>BOTTLE OPENER TERN, S</t>
  </si>
  <si>
    <t>H.POST LATCH KIT Q-LOCK LEVER LINK B7, B</t>
  </si>
  <si>
    <t>Other Steering Parts</t>
  </si>
  <si>
    <t>QLOCK HANDLEPOST T.SCOPIC 12DGR 245MM, B</t>
  </si>
  <si>
    <t>QR FRONT CH-30 CP AXLE 9X100X108</t>
  </si>
  <si>
    <t>Other Wheel Parts</t>
  </si>
  <si>
    <t>QR REAR CH-28 CP AXLE 10X135X145</t>
  </si>
  <si>
    <t>TUBELESS READY VALVE</t>
  </si>
  <si>
    <t>WHEEL ATTACHMENT WA3</t>
  </si>
  <si>
    <t>MAG RISER G FOR TRAINERS</t>
  </si>
  <si>
    <t>PHONE GRIP HOLDER IH-520-STD, B</t>
  </si>
  <si>
    <t>PHONE GRIP HOLDER IH-220M, B</t>
  </si>
  <si>
    <t>CHAIN TENSION DEVICE FOR TA 12MM</t>
  </si>
  <si>
    <t>CHAIN TENSION DEVICE FOR QUICK RELEASE</t>
  </si>
  <si>
    <t>VIBE EVO COMPUTER MOUNT</t>
  </si>
  <si>
    <t>SHIMANO SPORT CAMERA VIDEO ECM1000</t>
  </si>
  <si>
    <t>UNDERWATER LENS PROTECTOR CM-SM02</t>
  </si>
  <si>
    <t>BATTERY HOLDER MOUNT ADAPT SMBA01</t>
  </si>
  <si>
    <t>WIRE HOLDER IEWSD50ISM1 F/ INT. ROUTING</t>
  </si>
  <si>
    <t>SHIFT SWITCH ISWR610</t>
  </si>
  <si>
    <t>POWER CABLE DURA-ACE DI2 KSMBCC11</t>
  </si>
  <si>
    <t>JUNCTION-A DURA-ACE DI2 KSMEW90A</t>
  </si>
  <si>
    <t>BATTERY MOUNT KSMBMR2LB LONG</t>
  </si>
  <si>
    <t>BATTERY CASE KSMBTC1 F/ BOTTLE MOUNT</t>
  </si>
  <si>
    <t>SYSTEM INFORMATION DISPLAY KSCM9050</t>
  </si>
  <si>
    <t>SYSTEM INFORMATION DISPLAY ISCMT800</t>
  </si>
  <si>
    <t>OT-RS900 240MM x 10PC Y0BM98011</t>
  </si>
  <si>
    <t>LUGGAGE TRUSS, B GEN 2</t>
  </si>
  <si>
    <t>Other misc bike part</t>
  </si>
  <si>
    <t>PEDAL FLAT ALLOY HT-AE03 REPLACE PIN, R</t>
  </si>
  <si>
    <t>HT</t>
  </si>
  <si>
    <t>PEDAL FLAT ALLOY HT-AE03 REPLACE PIN, D</t>
  </si>
  <si>
    <t>PEDAL FLAT ALLOY HT-AE05 REPLACE PIN, R</t>
  </si>
  <si>
    <t>PEDAL FLAT ALLOY HT-AN01 REPLACE PIN, R</t>
  </si>
  <si>
    <t>PEDAL FLAT ALLOY HT-AN01 REPLACE PIN, D</t>
  </si>
  <si>
    <t>PEDAL FLAT ALLOY HT-AN01 REPLACE PIN, L</t>
  </si>
  <si>
    <t>PEDAL FLAT ALLOY HT-AN06 REPLACE PIN, B</t>
  </si>
  <si>
    <t>PEDAL FLAT ALLOY HT-AN06 REPLACE PIN, L</t>
  </si>
  <si>
    <t>PEDAL FLAT ALLOY HT-AN06 REPLACE PIN, R</t>
  </si>
  <si>
    <t>PEDAL FLAT ALLOY HT-AN06 REPLACE PIN, G</t>
  </si>
  <si>
    <t>PEDAL FLAT ALLOY HT-AN06 REPLACE PIN, D</t>
  </si>
  <si>
    <t>PEDAL FLAT ALLOY HT-ANS01 REPLACE PIN, E</t>
  </si>
  <si>
    <t>PEDAL FLAT ALLOY HT-ANS01 REPLACE PIN, R</t>
  </si>
  <si>
    <t>PEDAL FLAT ALLOY HT-ANS01 REPLACE PIN, D</t>
  </si>
  <si>
    <t>PEDAL FLAT HT-PA03A REPLACE PIN, 1Y</t>
  </si>
  <si>
    <t>PEDAL FLAT HT-PA03A REPLACE PIN, R</t>
  </si>
  <si>
    <t>PEDAL FLAT HT-PA12 MOLD PIN, R</t>
  </si>
  <si>
    <t>PEDAL FLAT HT-PA12A MOLD+REPLACE PIN, 1Y</t>
  </si>
  <si>
    <t>PEDAL FLAT HT-PA12A MOLD+REPLACE PIN, R</t>
  </si>
  <si>
    <t>PEDAL FLAT HT-PA12A MOLD+REPLACE PIN, O</t>
  </si>
  <si>
    <t>PEDAL FLAT HT-PA12A MOLD+REPLACE PIN, 1L</t>
  </si>
  <si>
    <t>PEDAL SPOON DC, L</t>
  </si>
  <si>
    <t>PEDAL SPOON DC, R</t>
  </si>
  <si>
    <t>PEDAL SPOON 100, R</t>
  </si>
  <si>
    <t>PEDAL SPOON 100, L</t>
  </si>
  <si>
    <t>PEDAL SPOON 90, R</t>
  </si>
  <si>
    <t>RD SAINT IRDM820SS1 10SP F/ DH</t>
  </si>
  <si>
    <t>RD XTR DI2 KRDM9050GS 11SP</t>
  </si>
  <si>
    <t>RD XTR DI2 KRDM9050SGS 11SP</t>
  </si>
  <si>
    <t>RD XT DI2 M8050 IRDM8050GS 11SP</t>
  </si>
  <si>
    <t>RD GRX DI2 KRDRX817 FOR 40-42T 11SP</t>
  </si>
  <si>
    <t>RD DEORE IRDT6000SGSL 10SP D.ATTACH</t>
  </si>
  <si>
    <t>REFLECTOR BRACKET JING FENG B-12 REAR</t>
  </si>
  <si>
    <t>Reflector + Bracket</t>
  </si>
  <si>
    <t>REFLECTOR BRACKET JING FENG B-9 FRONT</t>
  </si>
  <si>
    <t>REFLECTOR BRACKET SW-508E R 27,4</t>
  </si>
  <si>
    <t>REFLECTOR BRACKET SW-508F R 32</t>
  </si>
  <si>
    <t>REFLECTOR FRM RR-180-BTW BS STANDART</t>
  </si>
  <si>
    <t>RIM 27.5 359 VIBROCORE, 32, B</t>
  </si>
  <si>
    <t>RIM 27.5 359, 32, B</t>
  </si>
  <si>
    <t>RIM 27.5 350, 32, B</t>
  </si>
  <si>
    <t>RIM 27.5 SPOON 32, 32, B</t>
  </si>
  <si>
    <t>SADDLE TURNIX OFFROAD 142MM, B</t>
  </si>
  <si>
    <t>SADDLE COVER COMFORT GEL</t>
  </si>
  <si>
    <t>Saddle Cover</t>
  </si>
  <si>
    <t>SADDLE COVER SPORT GEL</t>
  </si>
  <si>
    <t>SADDLE COVER VELO VLC-062, B</t>
  </si>
  <si>
    <t>SADDLE COVER SR GEL MEDIUM, B</t>
  </si>
  <si>
    <t>SADDLE COVER MEMORY FOAM LARGE, B</t>
  </si>
  <si>
    <t>S.BAG CHALLENGER 0.5L BROOKSLAB, B</t>
  </si>
  <si>
    <t>S.BAG LIN:K W/STRAP M, 2E</t>
  </si>
  <si>
    <t>FI'ZI:K</t>
  </si>
  <si>
    <t>S.BAG LIN:K W/STRAP S, 2E</t>
  </si>
  <si>
    <t>CARRY-ON COVER 2.0, B</t>
  </si>
  <si>
    <t>XS.CLAMP AT-12 W/PIN, S, B</t>
  </si>
  <si>
    <t>Seat Clamp-Seat Pin</t>
  </si>
  <si>
    <t>S.POST EXPERT 30.9X400, BE</t>
  </si>
  <si>
    <t>S.POST EXPERT 30.9X400, BR</t>
  </si>
  <si>
    <t>S.POST EXPERT 31.6X400, BE</t>
  </si>
  <si>
    <t>S.POST EXPERT 31.6X400, BR</t>
  </si>
  <si>
    <t>S.POST EXP 27.2X400 Y21, BR</t>
  </si>
  <si>
    <t>S.POST EXP 27.2X400 Y21, BE</t>
  </si>
  <si>
    <t>S.POST EXP 30.9X400 Y21, BR</t>
  </si>
  <si>
    <t>S.POST EXP 30.9X400 Y21, BE</t>
  </si>
  <si>
    <t>S.POST EXP 31.6X400 Y21, BR</t>
  </si>
  <si>
    <t>S.POST EXP 31.6X400 Y21, BE</t>
  </si>
  <si>
    <t>S.POST SUSP R E20-R T100 31.6X380</t>
  </si>
  <si>
    <t>S.POST SUSP R E-TEN T100 31.6X385</t>
  </si>
  <si>
    <t>S.POST SUSP T RAGEi T100 30.9X342 W/O R</t>
  </si>
  <si>
    <t>S.POST SUSP T E20-R T100 30.9X380 W/O R</t>
  </si>
  <si>
    <t>S.POST 27.2X250, B</t>
  </si>
  <si>
    <t>S.POT SP-209 31.6X300 MBK P-SSX10</t>
  </si>
  <si>
    <t>S.POST SP-200/501S 25,4X200, B</t>
  </si>
  <si>
    <t>S.POST AERO APRO MY13 CARBON FOR HELIOS</t>
  </si>
  <si>
    <t>S.POST MTB WCS LINK TRAIL 30.9X400MM, B</t>
  </si>
  <si>
    <t>S.POST SUSP SP17-NCX 30.9X400MM</t>
  </si>
  <si>
    <t>XOUTER CASING OT-41 300MM, E</t>
  </si>
  <si>
    <t>OUTER CAP ST7900 Y6RT98170</t>
  </si>
  <si>
    <t>SHIFTER CABLE SET ROAD PTFE Y60098015, L</t>
  </si>
  <si>
    <t>SHIFTER CABLE SET ROAD PTFE Y60098016, G</t>
  </si>
  <si>
    <t>SHIFTER CABLE SET ROAD PTFE Y60098014, R</t>
  </si>
  <si>
    <t>SHIFTER CABLE SET ROAD PTFE Y60098012, W</t>
  </si>
  <si>
    <t>SHIFTER CABLE SET ROAD PTFE Y60098013, Y</t>
  </si>
  <si>
    <t>OUTER CASING AOT40SI30LM SIS 300MM, B</t>
  </si>
  <si>
    <t>OUTER CASING OT-41 300MM, E</t>
  </si>
  <si>
    <t>OUTER CASING SIS SP SHORT, B</t>
  </si>
  <si>
    <t>SHIFTER CABLE SET  F/MTB</t>
  </si>
  <si>
    <t>SIS-SP51 OUTER CASING, B</t>
  </si>
  <si>
    <t>SIS-SP51 OUTER CASING, W</t>
  </si>
  <si>
    <t>SIS-SP51 OUTER CASING, Y</t>
  </si>
  <si>
    <t>SP41 OUTER 50M BLUE Y60098582</t>
  </si>
  <si>
    <t>SP41 OUTER 50M GREEN Y60098585</t>
  </si>
  <si>
    <t>SP41 OUTER 50M ORANGE Y60098586</t>
  </si>
  <si>
    <t>SP41 OUTER 50M YELLOW Y60098584</t>
  </si>
  <si>
    <t>SL NS KSLR770LB LEFT, 3, E</t>
  </si>
  <si>
    <t>SL XT KSMSL78L INTEGRATED LEFT, 3, 0</t>
  </si>
  <si>
    <t>SL TNEY TX ASLTX30R7AT RIGHT, 7, B</t>
  </si>
  <si>
    <t>SHIFT SWITCH ISWM8050P SET R/L, 11, 0</t>
  </si>
  <si>
    <t>ST DB D.ACE IR9120DLF4SA10A, 2, B</t>
  </si>
  <si>
    <t>ST DB D.ACE IR9120DRRDSA17A, 11, B</t>
  </si>
  <si>
    <t>ST ULTEGRA DI2 KSTR8050L LEFT, 2, 0</t>
  </si>
  <si>
    <t>ST ULTEGRA DI2 KSTR8050R RIGHT, 11, 0</t>
  </si>
  <si>
    <t>ST DB 105 IR7020DLF4SC100A, 2, B</t>
  </si>
  <si>
    <t>ST DB 105 IR7020DRRDSC170A, 11, B</t>
  </si>
  <si>
    <t>ST DB ULT IR8020DLF4SC100A, 11, B</t>
  </si>
  <si>
    <t>ST DB ULT IR8020DRRDSC170A, 11, B</t>
  </si>
  <si>
    <t>SL DEORE ESLM5100LB MONO LEFT, 2, 0</t>
  </si>
  <si>
    <t>SL SORA ESLR3000LB LEFT, 2, 0</t>
  </si>
  <si>
    <t>SL SORA ESLR3000RA RIGHT, 9, 0</t>
  </si>
  <si>
    <t>SL SLX ISLM7100LBP LEFT, 2, 0</t>
  </si>
  <si>
    <t>SL XT ISLM8100LBP LEFT, 2, 0</t>
  </si>
  <si>
    <t>SHIRT COMPRESSION CRW NECK NS, M, B</t>
  </si>
  <si>
    <t>BODY TOUGHNESS</t>
  </si>
  <si>
    <t>SHIRT COMPRESSION CRW NECK NS, L1, B</t>
  </si>
  <si>
    <t>SHIRT COMPRESSION CRW NECK NS, L2, B</t>
  </si>
  <si>
    <t>SHIRT COMPRESSION CRW NECK SS, M, B</t>
  </si>
  <si>
    <t>SHIRT COMPRESSION CRW NECK SS, L1, B</t>
  </si>
  <si>
    <t>SHIRT COMPRESSION CRW NECK LS, S1, EBE</t>
  </si>
  <si>
    <t>SHIRT COMPRESSION V-NECK SS, M, B</t>
  </si>
  <si>
    <t>SHIRT COMPRESSION V-NECK SS, L1, B</t>
  </si>
  <si>
    <t>SHIRT DUAL MESH CRW NECK SS, M, BR</t>
  </si>
  <si>
    <t>SHIRT DUAL MESH CRW NECK SS, L1, BR</t>
  </si>
  <si>
    <t>BASE LAYER VERTEX SLEEVELESS, M, W</t>
  </si>
  <si>
    <t>BASE LAYER VERTEX SLEEVELESS, L2, W</t>
  </si>
  <si>
    <t>COVER PEDAL CLEAT ROAD FP-SC-07</t>
  </si>
  <si>
    <t>COVER SHOES CLEAT ROAD SC-05</t>
  </si>
  <si>
    <t>PEDAL CLEAT SC-03 MTB</t>
  </si>
  <si>
    <t>SHORT COMPRESSION SP, M, B</t>
  </si>
  <si>
    <t>SHORT COMPRESSION SP, L1, B</t>
  </si>
  <si>
    <t>SHORT COMPRESSION SP, L2, B</t>
  </si>
  <si>
    <t>SHORT COMPRESSION 7/8P, M, B</t>
  </si>
  <si>
    <t>SHORT COMPRESSION 7/8P, L1, B</t>
  </si>
  <si>
    <t>CARGO AM AGENOR, M, B</t>
  </si>
  <si>
    <t>CARGO AM AGENOR, M, BL</t>
  </si>
  <si>
    <t>CARGO AM AGENOR, M, BY</t>
  </si>
  <si>
    <t>BIBSHORT KODAMA PCWPAPSUS51M, L1, B</t>
  </si>
  <si>
    <t>BIBSHORT KODAMA PCWPAPSUS51M, L3, B</t>
  </si>
  <si>
    <t>BIBSHORT SHIMANO PCWPAPSVE31M, L2, B</t>
  </si>
  <si>
    <t>SHORT BASIC PRO, S1, B</t>
  </si>
  <si>
    <t>BIBSHORT BASIC PRO, S1, B</t>
  </si>
  <si>
    <t>SHORT ROAD ERON III, S1, BP</t>
  </si>
  <si>
    <t>BIBSHORT CARGO REIS, S1, B</t>
  </si>
  <si>
    <t>BIBSHORT CARGO REIS, L4, B</t>
  </si>
  <si>
    <t>BIBSHORT PRO ZENE WMN, S1, B</t>
  </si>
  <si>
    <t>BIBSHORT PRO ZENE WMN, M, B</t>
  </si>
  <si>
    <t>BIBSHORT PRO ZENE WMN, L1, B</t>
  </si>
  <si>
    <t>BIBSHORT PRO ZENE WMN, L2, B</t>
  </si>
  <si>
    <t>BIBSHORT PRO ZENE WMN, L3, B</t>
  </si>
  <si>
    <t>SPOKE KINETIX SAPIM CX-WING X11 222MM, B</t>
  </si>
  <si>
    <t>FREEWHEEL FIXIE</t>
  </si>
  <si>
    <t>SPROCKET GT 24T BK NEXUS</t>
  </si>
  <si>
    <t>STAND SU-STA ELEVATOR BLOCK GEL, 0</t>
  </si>
  <si>
    <t>Stand</t>
  </si>
  <si>
    <t>WALL MOUNT TAKA', 0</t>
  </si>
  <si>
    <t>STAND DISPLAY STAIR F/ 3 BIKES, E</t>
  </si>
  <si>
    <t>STAND DISPLAY STAIR F/ 4 BIKES, E</t>
  </si>
  <si>
    <t>STAND DISPLAY 971-4, E</t>
  </si>
  <si>
    <t>STAND PHS-10 FOR ROAD BIKE, T</t>
  </si>
  <si>
    <t>STAND 16 INCH SLMV-1 F/ FOLDING BIKE, B</t>
  </si>
  <si>
    <t>STAND SPINDLE SPN-20 FOR MTB, B</t>
  </si>
  <si>
    <t>STAND VERGO-TF/ 3 BIKES, S</t>
  </si>
  <si>
    <t>STAND DS-151-F W/ FAT TIRE FRAME, B</t>
  </si>
  <si>
    <t>VERGO-TF WHEEL HOLDER, 0</t>
  </si>
  <si>
    <t>STAND NH-25S 26, 0</t>
  </si>
  <si>
    <t>STAND HYBRID 02, B</t>
  </si>
  <si>
    <t>STAND 24, 0</t>
  </si>
  <si>
    <t>STAND 26, 0</t>
  </si>
  <si>
    <t>STAND HYBRID (HS-VT-TX), B</t>
  </si>
  <si>
    <t>STAND FOR QR HUB 02, B</t>
  </si>
  <si>
    <t>STAND FOR QR HUB 02, W</t>
  </si>
  <si>
    <t>TIRE 27.5X2.25 SPIDERBAIT</t>
  </si>
  <si>
    <t>TIRE NB.NIC 27.5X3.00 P, F, B</t>
  </si>
  <si>
    <t>TIRE RRAZOR SSKIN 27.5X2.35 ADDIX SPGRIP</t>
  </si>
  <si>
    <t>TIRE NB. NIC 27.5X2.60 E,F,PS,SS,TLE,A,B</t>
  </si>
  <si>
    <t>TIRE NB. NIC 27.5X3.00 E,F,TS,SS,TLE,B</t>
  </si>
  <si>
    <t>TIRE NNIC SSKIN 27.5X2.35 ADDIX SP GRIP</t>
  </si>
  <si>
    <t>TIRE NNIC SSKIN 27.5X2.6 ADDIX SPGRIP</t>
  </si>
  <si>
    <t>TIRE JUDGE 27.5X2.40 TCS TOUGH HG, F, B</t>
  </si>
  <si>
    <t>TIRE VIGILANTE 27.5X2.30 TCS TG FR, F, B</t>
  </si>
  <si>
    <t>TIRE VIGILANTE 27.5X2.60 TCS TG HG, F, B</t>
  </si>
  <si>
    <t>FORK MOUNT 15MMxBOOST F/ FG540</t>
  </si>
  <si>
    <t>Tools</t>
  </si>
  <si>
    <t>NIPPLE WRENCH 300</t>
  </si>
  <si>
    <t>XTOOL BB FOR HOLLOWTECH II</t>
  </si>
  <si>
    <t>FOLDING TOOL MINIMAX</t>
  </si>
  <si>
    <t>TOOL - FREEWHEEL 14T</t>
  </si>
  <si>
    <t>WRENCH - M16 12-POINT XQ1 DH</t>
  </si>
  <si>
    <t>KAGURA SMARTURBO UNIT ONLY</t>
  </si>
  <si>
    <t>TRAINER SMART TURBO KAGURA LST9200</t>
  </si>
  <si>
    <t>TRAINER HYBRID ROLLER FG542, SB</t>
  </si>
  <si>
    <t>WATER BAG KUDU PTR 10 M/L 3.0L, B2G</t>
  </si>
  <si>
    <t>Water bag</t>
  </si>
  <si>
    <t>WATER BAG KUDU PTR 10 S/M 3.0L, 2P1L</t>
  </si>
  <si>
    <t>WH SET EWHS501FRCBYG, B</t>
  </si>
  <si>
    <t>WH SET EWHS501FRCGYG, E</t>
  </si>
  <si>
    <t>WH SET MT55 EWHMT55F15RDWX E-THRU QR, W</t>
  </si>
  <si>
    <t>WH SET MT68 EWHMT68FEREDB F/15 E-THRU CL</t>
  </si>
  <si>
    <t>WH SET MT68 EWHMT68FEREDW F/15 E-THRU CL</t>
  </si>
  <si>
    <t>WH SET MT66 EWHMT66FER9DB F/15 E-THRU QR</t>
  </si>
  <si>
    <t>WH SET XTR IWHM980FER9CX 29, CL</t>
  </si>
  <si>
    <t>WH SET D.ACE EWHR9100C40FRTX TU</t>
  </si>
  <si>
    <t>WS ULT DB EWHR8170C50LFERED 12SP CL</t>
  </si>
  <si>
    <t>WS ULT DB EWHR8170C60LFERED 12SP CL</t>
  </si>
  <si>
    <t>WS ULT DB EWHR8170C36LFERED 12SP CL</t>
  </si>
  <si>
    <t>WSET EWHRS710C46LFERED F/R:12 100/142 CL</t>
  </si>
  <si>
    <t>WS K.DSG 3SPOKE CRB 406 F:100/R:130, B</t>
  </si>
  <si>
    <t>TERN REPAIR KIT</t>
  </si>
  <si>
    <t>Workshop Tools</t>
  </si>
  <si>
    <t>Harga Nett Aging</t>
  </si>
  <si>
    <t>No</t>
  </si>
  <si>
    <t>Nama Promo</t>
  </si>
  <si>
    <t>Periode</t>
  </si>
  <si>
    <t>AFS</t>
  </si>
  <si>
    <t>Berlaku Di</t>
  </si>
  <si>
    <t>Mekanisme</t>
  </si>
  <si>
    <t>Informasi Kunci</t>
  </si>
  <si>
    <r>
      <rPr>
        <b/>
        <sz val="11"/>
        <color theme="1"/>
        <rFont val="Aptos Narrow"/>
        <family val="2"/>
        <scheme val="minor"/>
      </rPr>
      <t>Replacement Handlebar Helios A</t>
    </r>
    <r>
      <rPr>
        <sz val="11"/>
        <color theme="1"/>
        <rFont val="Aptos Narrow"/>
        <family val="2"/>
        <scheme val="minor"/>
      </rPr>
      <t xml:space="preserve">
</t>
    </r>
  </si>
  <si>
    <t>25SL178NSS</t>
  </si>
  <si>
    <t>Outlet</t>
  </si>
  <si>
    <r>
      <rPr>
        <b/>
        <u/>
        <sz val="11"/>
        <color theme="1"/>
        <rFont val="Aptos Narrow"/>
        <family val="2"/>
        <scheme val="minor"/>
      </rPr>
      <t>Otomatis</t>
    </r>
    <r>
      <rPr>
        <b/>
        <sz val="11"/>
        <color theme="1"/>
        <rFont val="Aptos Narrow"/>
        <family val="2"/>
        <scheme val="minor"/>
      </rPr>
      <t xml:space="preserve">
*Kode customer: 999997 (PT. Insera Sena)
*Menggunakan kode promo: REPLACEMENT
*Wajib input nomor claim pada kolom notes</t>
    </r>
  </si>
  <si>
    <t>Konsumen yang telah membeli sepeda Polygon Helios A dapat menukarkan secara gratis handlebar/handlestem selama 1 kali</t>
  </si>
  <si>
    <r>
      <rPr>
        <b/>
        <sz val="11"/>
        <color theme="1"/>
        <rFont val="Aptos Narrow"/>
        <family val="2"/>
        <scheme val="minor"/>
      </rPr>
      <t>Upgrade To Tubeless</t>
    </r>
    <r>
      <rPr>
        <sz val="11"/>
        <color theme="1"/>
        <rFont val="Aptos Narrow"/>
        <family val="2"/>
        <scheme val="minor"/>
      </rPr>
      <t xml:space="preserve">
(Paket upgrade menjadi Tubeless, cukup bayar Rp 498 ribu)</t>
    </r>
  </si>
  <si>
    <t>26PA038RITS</t>
  </si>
  <si>
    <r>
      <rPr>
        <b/>
        <u/>
        <sz val="11"/>
        <color theme="1"/>
        <rFont val="Aptos Narrow"/>
        <family val="2"/>
        <scheme val="minor"/>
      </rPr>
      <t>Otomatis</t>
    </r>
    <r>
      <rPr>
        <b/>
        <sz val="11"/>
        <color theme="1"/>
        <rFont val="Aptos Narrow"/>
        <family val="2"/>
        <scheme val="minor"/>
      </rPr>
      <t xml:space="preserve">
*Berlaku untuk pembelian sepeda Xtrada (5, 6, 7), Siskiu (D5, D6, D7), Syncline (C2, C3, C5)
*</t>
    </r>
    <r>
      <rPr>
        <b/>
        <u/>
        <sz val="11"/>
        <color theme="1"/>
        <rFont val="Aptos Narrow"/>
        <family val="2"/>
        <scheme val="minor"/>
      </rPr>
      <t>Faktur dipisah dengan pembelian sepeda</t>
    </r>
    <r>
      <rPr>
        <b/>
        <sz val="11"/>
        <color theme="1"/>
        <rFont val="Aptos Narrow"/>
        <family val="2"/>
        <scheme val="minor"/>
      </rPr>
      <t xml:space="preserve">
*Menggunakan kode promo: UPGRADE
*Pada kolom notes, wajib input nomor faktur pembelian sepedanya.</t>
    </r>
  </si>
  <si>
    <t>Paket Upgrade menjadi Tubeless dengan tire Schwalbe hanya dengan membayar Rp. 498 ribu saja.</t>
  </si>
  <si>
    <t>Outlet &amp; Online</t>
  </si>
  <si>
    <r>
      <rPr>
        <b/>
        <u/>
        <sz val="11"/>
        <color theme="1"/>
        <rFont val="Aptos Narrow"/>
        <family val="2"/>
        <scheme val="minor"/>
      </rPr>
      <t>Otomatis</t>
    </r>
    <r>
      <rPr>
        <b/>
        <sz val="11"/>
        <color theme="1"/>
        <rFont val="Aptos Narrow"/>
        <family val="2"/>
        <scheme val="minor"/>
      </rPr>
      <t xml:space="preserve">
*Harga akan otomatis tertera pada POS</t>
    </r>
  </si>
  <si>
    <t>Gratis Tas Spunbond Rodalink/Paper Bag Rodalink</t>
  </si>
  <si>
    <t>26MD036RITJ</t>
  </si>
  <si>
    <r>
      <rPr>
        <b/>
        <u/>
        <sz val="11"/>
        <color theme="1"/>
        <rFont val="Aptos Narrow"/>
        <family val="2"/>
        <scheme val="minor"/>
      </rPr>
      <t xml:space="preserve">Manual
</t>
    </r>
    <r>
      <rPr>
        <b/>
        <sz val="11"/>
        <color theme="1"/>
        <rFont val="Aptos Narrow"/>
        <family val="2"/>
        <scheme val="minor"/>
      </rPr>
      <t>*Article Tas Spunbond/Paper Bag di nol kan.</t>
    </r>
  </si>
  <si>
    <t>Gratis tas spunbond atau paper bag untuk transaksi yang memerlukan kantong dengan value minimal Rp. 500 ribu</t>
  </si>
  <si>
    <t>Description</t>
  </si>
  <si>
    <t>Discount</t>
  </si>
  <si>
    <t>Nett Retail</t>
  </si>
  <si>
    <t>CASCADE 2 CA 27.5, M, LO</t>
  </si>
  <si>
    <t>CASCADE 2 CA 27.5, M, RO</t>
  </si>
  <si>
    <t>CASCADE 2 CA 27.5, M, Y</t>
  </si>
  <si>
    <t>CASCADE 3 CA 27.5, M, L</t>
  </si>
  <si>
    <t>CASCADE 3 CA 27.5, M, RB</t>
  </si>
  <si>
    <t>CASCADE 3 CA 27.5, S1, RB</t>
  </si>
  <si>
    <t>CASCADE 4 CA 27.5, M, B</t>
  </si>
  <si>
    <t>CASCADE 4 CA 27.5, S1, B</t>
  </si>
  <si>
    <t>PREMIER 4 BA 27.5, L1, E</t>
  </si>
  <si>
    <t>PREMIER 4 BA 27.5, M, E</t>
  </si>
  <si>
    <t>PREMIER 4 BA 27.5, S1, E</t>
  </si>
  <si>
    <t>PREMIER 4 BA 29, L1, E</t>
  </si>
  <si>
    <t>PREMIER 4 BA 29, M, E</t>
  </si>
  <si>
    <t>PREMIER 5 BA 27.5, L1, B</t>
  </si>
  <si>
    <t>PREMIER 5 BA 27.5, M, B</t>
  </si>
  <si>
    <t>PREMIER 5 BA 27.5, S1, B</t>
  </si>
  <si>
    <t>PREMIER 5 BA 29, L1, B</t>
  </si>
  <si>
    <t>PREMIER 5 BA 29, L2, B</t>
  </si>
  <si>
    <t>PREMIER 5 BA 29, M, B</t>
  </si>
  <si>
    <t>HELIOS A7 BA 700, L1, L</t>
  </si>
  <si>
    <t>HELIOS A7 BA 700, L2, L</t>
  </si>
  <si>
    <t>HELIOS A7 BA 700, M, L</t>
  </si>
  <si>
    <t>HELIOS A7 BA 700, S1, L</t>
  </si>
  <si>
    <t>HELIOS A7 BA 700, S2, L</t>
  </si>
  <si>
    <t>HELIOS A7 BA 700, S3, L</t>
  </si>
  <si>
    <t>HELIOS A7X BA 700, L1, P</t>
  </si>
  <si>
    <t>HELIOS A7X BA 700, L2, P</t>
  </si>
  <si>
    <t>HELIOS A7X BA 700, M, P</t>
  </si>
  <si>
    <t>HELIOS A7X BA 700, S1, P</t>
  </si>
  <si>
    <t>HELIOS A7X BA 700, S2, P</t>
  </si>
  <si>
    <t>HELIOS A7X BA 700, S3, P</t>
  </si>
  <si>
    <t>HELIOS A8 BA 700, L1, E</t>
  </si>
  <si>
    <t>HELIOS A8 BA 700, L2, E</t>
  </si>
  <si>
    <t>HELIOS A8 BA 700, M, E</t>
  </si>
  <si>
    <t>HELIOS A8 BA 700, S1, E</t>
  </si>
  <si>
    <t>HELIOS A8 BA 700, S2, E</t>
  </si>
  <si>
    <t>HELIOS A8 BA 700, S3, E</t>
  </si>
  <si>
    <t>HELIOS A8X BA 700, L1, BB</t>
  </si>
  <si>
    <t>HELIOS A8X BA 700, L1, L</t>
  </si>
  <si>
    <t>HELIOS A8X BA 700, L2, BB</t>
  </si>
  <si>
    <t>HELIOS A8X BA 700, L2, L</t>
  </si>
  <si>
    <t>HELIOS A8X BA 700, M, BB</t>
  </si>
  <si>
    <t>HELIOS A8X BA 700, M, L</t>
  </si>
  <si>
    <t>HELIOS A8X BA 700, S1, L</t>
  </si>
  <si>
    <t>HELIOS A8X BA 700, S2, BB</t>
  </si>
  <si>
    <t>HELIOS A8X BA 700, S2, L</t>
  </si>
  <si>
    <t>HELIOS A8X BA 700, S3, BB</t>
  </si>
  <si>
    <t>HELIOS A8X BA 700, S3, L</t>
  </si>
  <si>
    <t>HELIOS A8X BA 700, S4, BB</t>
  </si>
  <si>
    <t>HELIOS A8X BA 700, S4, L</t>
  </si>
  <si>
    <t>HELIOS A9XI BA 700, L1, B</t>
  </si>
  <si>
    <t>HELIOS A9XI BA 700, L1, BB</t>
  </si>
  <si>
    <t>HELIOS A9XI BA 700, L1, E</t>
  </si>
  <si>
    <t>HELIOS A9XI BA 700, L1, L</t>
  </si>
  <si>
    <t>HELIOS A9XI BA 700, L2, B</t>
  </si>
  <si>
    <t>HELIOS A9XI BA 700, L2, BB</t>
  </si>
  <si>
    <t>HELIOS A9XI BA 700, L2, E</t>
  </si>
  <si>
    <t>HELIOS A9XI BA 700, L2, L</t>
  </si>
  <si>
    <t>HELIOS A9XI BA 700, M, B</t>
  </si>
  <si>
    <t>HELIOS A9XI BA 700, M, BB</t>
  </si>
  <si>
    <t>HELIOS A9XI BA 700, M, E</t>
  </si>
  <si>
    <t>HELIOS A9XI BA 700, M, L</t>
  </si>
  <si>
    <t>HELIOS A9XI BA 700, S1, B</t>
  </si>
  <si>
    <t>HELIOS A9XI BA 700, S1, BB</t>
  </si>
  <si>
    <t>HELIOS A9XI BA 700, S1, E</t>
  </si>
  <si>
    <t>HELIOS A9XI BA 700, S1, L</t>
  </si>
  <si>
    <t>HELIOS A9XI BA 700, S2, B</t>
  </si>
  <si>
    <t>HELIOS A9XI BA 700, S2, BB</t>
  </si>
  <si>
    <t>HELIOS A9XI BA 700, S2, E</t>
  </si>
  <si>
    <t>HELIOS A9XI BA 700, S2, L</t>
  </si>
  <si>
    <t>HELIOS A9XI BA 700, S3, B</t>
  </si>
  <si>
    <t>HELIOS A9XI BA 700, S3, BB</t>
  </si>
  <si>
    <t>HELIOS A9XI BA 700, S3, E</t>
  </si>
  <si>
    <t>HELIOS A9XI BA 700, S3, L</t>
  </si>
  <si>
    <t>HELIOS A9XR BA 700, L1, B</t>
  </si>
  <si>
    <t>HELIOS A9XR BA 700, L1, BB</t>
  </si>
  <si>
    <t>HELIOS A9XR BA 700, L1, E</t>
  </si>
  <si>
    <t>HELIOS A9XR BA 700, L1, L</t>
  </si>
  <si>
    <t>HELIOS A9XR BA 700, L2, B</t>
  </si>
  <si>
    <t>HELIOS A9XR BA 700, L2, BB</t>
  </si>
  <si>
    <t>HELIOS A9XR BA 700, L2, E</t>
  </si>
  <si>
    <t>HELIOS A9XR BA 700, L2, L</t>
  </si>
  <si>
    <t>HELIOS A9XR BA 700, M, B</t>
  </si>
  <si>
    <t>HELIOS A9XR BA 700, M, BB</t>
  </si>
  <si>
    <t>HELIOS A9XR BA 700, M, E</t>
  </si>
  <si>
    <t>HELIOS A9XR BA 700, M, L</t>
  </si>
  <si>
    <t>HELIOS A9XR BA 700, S1, B</t>
  </si>
  <si>
    <t>HELIOS A9XR BA 700, S1, BB</t>
  </si>
  <si>
    <t>HELIOS A9XR BA 700, S1, E</t>
  </si>
  <si>
    <t>HELIOS A9XR BA 700, S1, L</t>
  </si>
  <si>
    <t>HELIOS A9XR BA 700, S2, B</t>
  </si>
  <si>
    <t>HELIOS A9XR BA 700, S2, BB</t>
  </si>
  <si>
    <t>HELIOS A9XR BA 700, S2, E</t>
  </si>
  <si>
    <t>HELIOS A9XR BA 700, S2, L</t>
  </si>
  <si>
    <t>HELIOS A9XR BA 700, S3, B</t>
  </si>
  <si>
    <t>HELIOS A9XR BA 700, S3, BB</t>
  </si>
  <si>
    <t>HELIOS A9XR BA 700, S3, E</t>
  </si>
  <si>
    <t>HELIOS A9XR BA 700, S3, L</t>
  </si>
  <si>
    <t>HELIOS A9XV BA 700, L1, B</t>
  </si>
  <si>
    <t>HELIOS A9XV BA 700, L1, BB</t>
  </si>
  <si>
    <t>HELIOS A9XV BA 700, L1, E</t>
  </si>
  <si>
    <t>HELIOS A9XV BA 700, L1, L</t>
  </si>
  <si>
    <t>HELIOS A9XV BA 700, L2, B</t>
  </si>
  <si>
    <t>HELIOS A9XV BA 700, L2, BB</t>
  </si>
  <si>
    <t>HELIOS A9XV BA 700, L2, E</t>
  </si>
  <si>
    <t>HELIOS A9XV BA 700, L2, L</t>
  </si>
  <si>
    <t>HELIOS A9XV BA 700, M, B</t>
  </si>
  <si>
    <t>HELIOS A9XV BA 700, M, BB</t>
  </si>
  <si>
    <t>HELIOS A9XV BA 700, M, E</t>
  </si>
  <si>
    <t>HELIOS A9XV BA 700, M, L</t>
  </si>
  <si>
    <t>HELIOS A9XV BA 700, S1, B</t>
  </si>
  <si>
    <t>HELIOS A9XV BA 700, S1, BB</t>
  </si>
  <si>
    <t>HELIOS A9XV BA 700, S1, E</t>
  </si>
  <si>
    <t>HELIOS A9XV BA 700, S1, L</t>
  </si>
  <si>
    <t>HELIOS A9XV BA 700, S2, B</t>
  </si>
  <si>
    <t>HELIOS A9XV BA 700, S2, BB</t>
  </si>
  <si>
    <t>HELIOS A9XV BA 700, S2, E</t>
  </si>
  <si>
    <t>HELIOS A9XV BA 700, S2, L</t>
  </si>
  <si>
    <t>HELIOS A9XV BA 700, S3, B</t>
  </si>
  <si>
    <t>HELIOS A9XV BA 700, S3, BB</t>
  </si>
  <si>
    <t>HELIOS A9XV BA 700, S3, E</t>
  </si>
  <si>
    <t>HELIOS A9XV BA 700, S3, L</t>
  </si>
  <si>
    <t>HELIOS A9XX BA 700, L1, B</t>
  </si>
  <si>
    <t>HELIOS A9XX BA 700, L1, BB</t>
  </si>
  <si>
    <t>HELIOS A9XX BA 700, L1, E</t>
  </si>
  <si>
    <t>HELIOS A9XX BA 700, L1, L</t>
  </si>
  <si>
    <t>HELIOS A9XX BA 700, L2, B</t>
  </si>
  <si>
    <t>HELIOS A9XX BA 700, L2, BB</t>
  </si>
  <si>
    <t>HELIOS A9XX BA 700, L2, E</t>
  </si>
  <si>
    <t>HELIOS A9XX BA 700, L2, L</t>
  </si>
  <si>
    <t>HELIOS A9XX BA 700, M, B</t>
  </si>
  <si>
    <t>HELIOS A9XX BA 700, M, BB</t>
  </si>
  <si>
    <t>HELIOS A9XX BA 700, M, E</t>
  </si>
  <si>
    <t>HELIOS A9XX BA 700, M, L</t>
  </si>
  <si>
    <t>HELIOS A9XX BA 700, S1, B</t>
  </si>
  <si>
    <t>HELIOS A9XX BA 700, S1, BB</t>
  </si>
  <si>
    <t>HELIOS A9XX BA 700, S1, E</t>
  </si>
  <si>
    <t>HELIOS A9XX BA 700, S1, L</t>
  </si>
  <si>
    <t>HELIOS A9XX BA 700, S2, B</t>
  </si>
  <si>
    <t>HELIOS A9XX BA 700, S2, BB</t>
  </si>
  <si>
    <t>HELIOS A9XX BA 700, S2, E</t>
  </si>
  <si>
    <t>HELIOS A9XX BA 700, S2, L</t>
  </si>
  <si>
    <t>HELIOS A9XX BA 700, S3, B</t>
  </si>
  <si>
    <t>HELIOS A9XX BA 700, S3, BB</t>
  </si>
  <si>
    <t>HELIOS A9XX BA 700, S3, E</t>
  </si>
  <si>
    <t>HELIOS A9XX BA 700, S3, L</t>
  </si>
  <si>
    <t>STOCK RIT</t>
  </si>
  <si>
    <t>STOCK RDL</t>
  </si>
  <si>
    <t>RETAIL PRICE</t>
  </si>
  <si>
    <t>DISCOUNT AGING</t>
  </si>
  <si>
    <t>NETT PRICE</t>
  </si>
  <si>
    <t>ALPINE TRAIL E1 29 SM W GRN/BK, S1, 0</t>
  </si>
  <si>
    <t>MARIN</t>
  </si>
  <si>
    <t>Bike-Electric</t>
  </si>
  <si>
    <t>ALPINE TRAIL E2 29 SM W TAN/BK, S1, 0</t>
  </si>
  <si>
    <t>FAIRFAX E CE X SILVER, L1, 0</t>
  </si>
  <si>
    <t>FAIRFAX E CE X SILVER, S1, 0</t>
  </si>
  <si>
    <t>FAIRFAX E ST CE X BLUE, M, 0</t>
  </si>
  <si>
    <t>FAIRFAX E ST CE X BLUE, S2, 0</t>
  </si>
  <si>
    <t>SAUSALITO E1 SM X SILVER, L1, 0</t>
  </si>
  <si>
    <t>SAUSALITO E1 SM X SILVER, L2, 0</t>
  </si>
  <si>
    <t>SAUSALITO E1 SM X SILVER, M, 0</t>
  </si>
  <si>
    <t>SAUSALITO E1 SM X SILVER, S1, 0</t>
  </si>
  <si>
    <t>DSX 2 700C U BROWN, M, 0</t>
  </si>
  <si>
    <t>Bike-Hybrid Trekking</t>
  </si>
  <si>
    <t>DSX 2 700C U BROWN, S1, 0</t>
  </si>
  <si>
    <t>DSX FS 700C V BLACK GREY, S1, 0</t>
  </si>
  <si>
    <t>PINE MOUNTAIN 1 29 T GLOSS BLUE, M, 0</t>
  </si>
  <si>
    <t>Bike-MTB Rigid Frame</t>
  </si>
  <si>
    <t>PINE MOUNTAIN 2 29 T GLOSS GREEN, L1, 0</t>
  </si>
  <si>
    <t>PINE MOUNTAIN 2 29 T GLOSS GREEN, M, 0</t>
  </si>
  <si>
    <t>PINE MOUNTAIN 2 29 T GLOSS GREEN, S1, 0</t>
  </si>
  <si>
    <t>FOUR CORNERS U BLACK, S1, 0</t>
  </si>
  <si>
    <t>Bike-Road Drop Bar</t>
  </si>
  <si>
    <t>FOUR CORNERS U GREEN, S1, 0</t>
  </si>
  <si>
    <t>FOUR CORNERS U GREEN, S2, 0</t>
  </si>
  <si>
    <t>GESTALT 1 700C U RED, 500, 0</t>
  </si>
  <si>
    <t>GESTALT 1 700C U RED, 520, 0</t>
  </si>
  <si>
    <t>GESTALT 1 700C U RED, 540, 0</t>
  </si>
  <si>
    <t>GESTALT 2 700C U BLACK, 500, 0</t>
  </si>
  <si>
    <t>GESTALT 2 700C U BLACK, 520, 0</t>
  </si>
  <si>
    <t>GESTALT 2.5 700C V BLACK RED, 500, 0</t>
  </si>
  <si>
    <t>GESTALT 2.5 700C V BLACK RED, 520, 0</t>
  </si>
  <si>
    <t>GESTALT 2.5 700C V BLACK RED, 540, 0</t>
  </si>
  <si>
    <t>GESTALT 2.5 700C V BLACK RED, 580, 0</t>
  </si>
  <si>
    <t>GESTALT 700C U BK BLUE, 520, 0</t>
  </si>
  <si>
    <t>GESTALT X10 700C U SILVER, 500, 0</t>
  </si>
  <si>
    <t>GESTALT X10 700C U SILVER, 520, 0</t>
  </si>
  <si>
    <t>GESTALT X10 700C U SILVER, 540, 0</t>
  </si>
  <si>
    <t>GESTALT X10 700C W GLOSS BLUE, M, 0</t>
  </si>
  <si>
    <t>GESTALT X10 700C W GLOSS BLUE, S1, 0</t>
  </si>
  <si>
    <t>GESTALT X11 700C U GREY, 500, 0</t>
  </si>
  <si>
    <t>GESTALT X11 700C U GREY, 520, 0</t>
  </si>
  <si>
    <t>GESTALT X11 700C U GREY, 540, 0</t>
  </si>
  <si>
    <t>GESTALT XR 700C W GLOSS GREY, M, 0</t>
  </si>
  <si>
    <t>GESTALT XR 700C W GLOSS GREY, S1, 0</t>
  </si>
  <si>
    <t>HEADLANDS 1 700C U BLACK, 490, 0</t>
  </si>
  <si>
    <t>HEADLANDS 1 700C U BLACK, 520, 0</t>
  </si>
  <si>
    <t>HEADLANDS 1 700C X SILVER/RED, 490, 0</t>
  </si>
  <si>
    <t>HEADLANDS 1 700C X SILVER/RED, 520, 0</t>
  </si>
  <si>
    <t>HEADLANDS 1 700C X SILVER/RED, 540, 0</t>
  </si>
  <si>
    <t>HEADLANDS 2 700C V BLACK ORG, 490, 0</t>
  </si>
  <si>
    <t>HEADLANDS 2 700C V BLACK ORG, 520, 0</t>
  </si>
  <si>
    <t>HEADLANDS 2 700C V BLACK ORG, 540, 0</t>
  </si>
  <si>
    <t>HEADLANDS 2 700C X BLGR/GRY, 520, 0</t>
  </si>
  <si>
    <t>HEADLANDS 2 700C X BLGR/GRY, 540, 0</t>
  </si>
  <si>
    <t>LOMBARD 2 700C T BLACK, 490, 0</t>
  </si>
  <si>
    <t>LOMBARD 2 700C T BLACK, 520, 0</t>
  </si>
  <si>
    <t>NICASIO 700C T SILVER, 470, 0</t>
  </si>
  <si>
    <t>NICASIO 700C T SILVER, 500, 0</t>
  </si>
  <si>
    <t>NICASIO 700C T SILVER, 520, 0</t>
  </si>
  <si>
    <t>NICASIO 700C T SILVER, 540, 0</t>
  </si>
  <si>
    <t>NICASIO 700C U BLACK, 470, 0</t>
  </si>
  <si>
    <t>NICASIO 700C U BLACK, 500, 0</t>
  </si>
  <si>
    <t>NICASIO+ 650B T SATIN TAN, 500, 0</t>
  </si>
  <si>
    <t>NICASIO+ 650B T SATIN TAN, 520, 0</t>
  </si>
  <si>
    <t>NICASIO+ 650B T SATIN TAN, 540, 0</t>
  </si>
  <si>
    <t>NICASIO+ 650B V GREEN, 500, 0</t>
  </si>
  <si>
    <t>NICASIO+ 650B V GREEN, 520, 0</t>
  </si>
  <si>
    <t>NICASIO+ 650B V GREEN, 540, 0</t>
  </si>
  <si>
    <t>FAIRFAX 1 700C V BLUE GREY, L1, 0</t>
  </si>
  <si>
    <t>Bike-Urban City 700C</t>
  </si>
  <si>
    <t>FAIRFAX 1 700C V BLUE GREY, M, 0</t>
  </si>
  <si>
    <t>FAIRFAX 1 700C V BLUE GREY, S1, 0</t>
  </si>
  <si>
    <t>FAIRFAX 1 700C V GLOSS BLACK, M, 0</t>
  </si>
  <si>
    <t>FAIRFAX 1 700C V GLOSS BLACK, S1, 0</t>
  </si>
  <si>
    <t>FAIRFAX 1 ST 700C V BLACK, M, 0</t>
  </si>
  <si>
    <t>FAIRFAX 2 700C V RED BLACK, M, 0</t>
  </si>
  <si>
    <t>FAIRFAX 2 700C V RED BLACK, S1, 0</t>
  </si>
  <si>
    <t>FAIRFAX 2 700C V SILVER BK, L1, 0</t>
  </si>
  <si>
    <t>FAIRFAX 2 700C V SILVER BK, M, 0</t>
  </si>
  <si>
    <t>LARKSPUR 1 27.5 U YELLOW, S1, 0</t>
  </si>
  <si>
    <t>MUIRWOODS 700C V BLACK  M, 0</t>
  </si>
  <si>
    <t>MUIRWOODS 700C V BLACK  S1, 0</t>
  </si>
  <si>
    <t>MUIRWOODS 700C V BLACK  S2, 0</t>
  </si>
  <si>
    <t>FRM KIT HEADLANDS 700C T ORANGE, 490, 0</t>
  </si>
  <si>
    <t>FRM KIT HEADLANDS 700C T ORANGE, 520, 0</t>
  </si>
  <si>
    <t>FRM I WOLF RIDGE 6.9, M, W</t>
  </si>
  <si>
    <t>FRM K QUAD DH, M, WL</t>
  </si>
  <si>
    <t>SPUNBOND BAG BIG</t>
  </si>
  <si>
    <t>RODALINK</t>
  </si>
  <si>
    <t>SPUNBOND BAG SMALL</t>
  </si>
  <si>
    <t>SMALL PAPER BAG</t>
  </si>
  <si>
    <t>BIG PAPER BAG</t>
  </si>
  <si>
    <t>BACKPACK ENROUTE 4 26L BLACK, B</t>
  </si>
  <si>
    <t>BACKPACK ENROUTE 4 26L MALLARD GREEN, G</t>
  </si>
  <si>
    <t>BACKPACK ENROUTE 4 26L PELLICAN GRAY, E</t>
  </si>
  <si>
    <t>BACKPACK SUBTERRA 2 21L - BLACK, S, B</t>
  </si>
  <si>
    <t>BACKPACK SUBTERRA 2 21L - DARKSLATE, 0</t>
  </si>
  <si>
    <t>HANGON 972 TILT 3 BIKE</t>
  </si>
  <si>
    <t>ROUNDTRIP TRANSITION HARD CASE</t>
  </si>
  <si>
    <t>VELOSPACE XT 13 PIN 2 BIKE</t>
  </si>
  <si>
    <t>VELOSPACE XT 13 PIN 3 BIKE</t>
  </si>
  <si>
    <t>AGING OUTLET</t>
  </si>
  <si>
    <t>ARM COVER FREELINE, M, B</t>
  </si>
  <si>
    <t>Arm Cover</t>
  </si>
  <si>
    <t>ARM COVER FREELINE, L1, B</t>
  </si>
  <si>
    <t>ARM COVER FREELINE, L2, B</t>
  </si>
  <si>
    <t>ARM COVER FREELINE, L3, B</t>
  </si>
  <si>
    <t>BB CUP CH-63-2 (FP-B603) 5PC, B</t>
  </si>
  <si>
    <t>CRR BAG TRUNK DXP STRAP TT9643B, B</t>
  </si>
  <si>
    <t>TOPEAK</t>
  </si>
  <si>
    <t>DRYBAG 5 SMARTPHONE TT9831B, B</t>
  </si>
  <si>
    <t>TOP TUBE BAG TC2296B FUEL TANK, M, 0</t>
  </si>
  <si>
    <t>DRYBAG 6 SMARTPHONE TT9840B, B</t>
  </si>
  <si>
    <t>BACKLOADER 10L TBP-BL2B, 0</t>
  </si>
  <si>
    <t>CRR BAG TRUNK DXP STRAP 2.0, B</t>
  </si>
  <si>
    <t>BAR TAPE LEATHER, 1N</t>
  </si>
  <si>
    <t>BAR TAPE LEATHER, N</t>
  </si>
  <si>
    <t>BAR TAPE REGENERATED LEATHER, NA</t>
  </si>
  <si>
    <t>BAR TAPE BTP-4 PU+EVA BREAK POINT, R</t>
  </si>
  <si>
    <t>BAR TAPE BTP-4 PU+EVA BREAK POINT, K</t>
  </si>
  <si>
    <t>BAR TAPE BTP-2 PU+EVA DUAL TRIANGLE, I</t>
  </si>
  <si>
    <t>BAR TAPE BTP-2 PU+EVA DUAL TRIANGLE, R</t>
  </si>
  <si>
    <t>BAR TAPE BTP-2 PU+EVA DUAL TRIANGLE, N</t>
  </si>
  <si>
    <t>BAR TAPE BTP-2 PU+EVA DUAL TRIANGLE, L</t>
  </si>
  <si>
    <t>BAR TAPE BTS-01 SILICAGEL AURORA, BW</t>
  </si>
  <si>
    <t>BAR TAPE BTS-01 SILICAGEL AURORA, BR</t>
  </si>
  <si>
    <t>BAR TAPE BTS-01 SILICAGEL AURORA, BL</t>
  </si>
  <si>
    <t>BAR TAPE BTS-01 SILICAGEL AURORA, BG</t>
  </si>
  <si>
    <t>BAR TAPE COMP/PRO LOGIC CORK, L</t>
  </si>
  <si>
    <t>BAR TAPE COMP EVA, L</t>
  </si>
  <si>
    <t>TROLLEY TOTE FOLDING BASKET MTX REAR, ES</t>
  </si>
  <si>
    <t>BELL SIERRA, S</t>
  </si>
  <si>
    <t>BELL TWIST, B</t>
  </si>
  <si>
    <t>ELBOW &amp; KNEE SET KIDS UNICORNS, S, K</t>
  </si>
  <si>
    <t>Body Protector</t>
  </si>
  <si>
    <t>ELBOW &amp; KNEE SET KIDS UNICORNS, M, K</t>
  </si>
  <si>
    <t>ELBOW &amp; KNEE SET KIDS SPACE, S, 2L</t>
  </si>
  <si>
    <t>ELBOW &amp; KNEE SET KIDS SPACE, M, 2L</t>
  </si>
  <si>
    <t>ELBOW &amp; KNEE SET KIDS FLOWER, S, K</t>
  </si>
  <si>
    <t>ELBOW &amp; KNEE SET KIDS FLOWER, M, K</t>
  </si>
  <si>
    <t>ELBOW &amp; KNEE SET KIDS CAR, S, B</t>
  </si>
  <si>
    <t>ELBOW &amp; KNEE SET KIDS CAR, M, B</t>
  </si>
  <si>
    <t>ELBOW &amp; KNEE SET KIDS CAR, S, R</t>
  </si>
  <si>
    <t>ELBOW &amp; KNEE SET KIDS CAR, M, R</t>
  </si>
  <si>
    <t>BOTTLE PODIUM MDL B 710ML, R</t>
  </si>
  <si>
    <t>BOTTLE PODIUM MDL B 710ML, W</t>
  </si>
  <si>
    <t>BOTTLE PODIUM MDL B 710ML, 1L</t>
  </si>
  <si>
    <t>BOTTLE PODIUM CHILL MDL B 620ML, KS</t>
  </si>
  <si>
    <t>BOTTLE PODIUM CHILL MDL B 620ML, R</t>
  </si>
  <si>
    <t>BOTTLE PODIUM CHILL MDL B 710ML, R</t>
  </si>
  <si>
    <t>BOTTLE PODIUM DIRT MDL B 620ML, W</t>
  </si>
  <si>
    <t>BOTTLE PODIUM MDL B 620ML, R</t>
  </si>
  <si>
    <t>BOTTLE PODIUM MDL B 620ML, W</t>
  </si>
  <si>
    <t>BOTTLE PODIUM CHILL RC EDITION 620ML, RL</t>
  </si>
  <si>
    <t>BOTTLE PODIUM CHILL PF EDITION 620ML, 2L</t>
  </si>
  <si>
    <t>BOTTLE PODIUM MDL C, 710 ML, 1G</t>
  </si>
  <si>
    <t>BOTTLE LOLI TSG 600ML, 0</t>
  </si>
  <si>
    <t>BOTTLE CYCLING 500ML, 0</t>
  </si>
  <si>
    <t>BOTTLE CYCLING 1000ML, 0</t>
  </si>
  <si>
    <t>XBOTTLE HOLDER 300ML, B</t>
  </si>
  <si>
    <t>POLISPORT</t>
  </si>
  <si>
    <t>BOTTLE CAGE CUSTOM RACE SKIN, B</t>
  </si>
  <si>
    <t>BOTTLE CAGE CUSTOM RACE PLUS SKIN, 3B</t>
  </si>
  <si>
    <t>BOTTLE CAGE CANNIBAL XC, BG</t>
  </si>
  <si>
    <t>BOTTLE CAGE CANNIBAL XC, BO</t>
  </si>
  <si>
    <t>BOTTLE CAGE CANNIBAL XC, BR</t>
  </si>
  <si>
    <t>BOTTLE CAGE CANNIBAL XC SKIN, BB</t>
  </si>
  <si>
    <t>BOTTLE CAGE ROCKO CARBON, 3B</t>
  </si>
  <si>
    <t>BOTTLE CAGE ROCKO CARBON, 3R</t>
  </si>
  <si>
    <t>BOTTLE CAGE ROCKO CARBON, 3L</t>
  </si>
  <si>
    <t>BOTTLE CAGE ROCKO CARBON, 3D</t>
  </si>
  <si>
    <t>BOTTLE CAGE S CANNIBAL XC, BL</t>
  </si>
  <si>
    <t>BOTTLE CAGE VICO CRB, 3BB</t>
  </si>
  <si>
    <t>BOTTLE CAGE VICO CRB, 3BR</t>
  </si>
  <si>
    <t>BOTTLE CAGE VICO CRB, 3BL</t>
  </si>
  <si>
    <t>BOTTLE CAGE VICO CRB, 3BZ</t>
  </si>
  <si>
    <t>BOTTLE CAGE CUSTOM RACE PLUS, BL</t>
  </si>
  <si>
    <t>BOTTLE CAGE CUSTOM RACE PLUS, BO</t>
  </si>
  <si>
    <t>BOTTLE CAGE CUSTOM RACE PLUS TITAN, BE</t>
  </si>
  <si>
    <t>BOTTLE CAGE CUSTOM RC PLUS T, BR</t>
  </si>
  <si>
    <t>CUSTOM RACE PLUS SHINY, GP</t>
  </si>
  <si>
    <t>CUSTOM RACE PLUS SHINY, W</t>
  </si>
  <si>
    <t>BOTTLE CAGE BC30 SLIGHT, R</t>
  </si>
  <si>
    <t>BOTTLE CAGE TDSC01 DUALSIDE CAGE, B</t>
  </si>
  <si>
    <t>B.CAGE NINJA CAGE PLUS TNJ-CGP, B</t>
  </si>
  <si>
    <t>FEZA CAGE KEVLAR CARBON R10S, Y</t>
  </si>
  <si>
    <t>BABY CARRIER BUBBLY MAXI+ 2 CR, 2EN</t>
  </si>
  <si>
    <t>BABY CARRIER BUBBLY MAXI+ 2 CR, B2E</t>
  </si>
  <si>
    <t>BABY CARRIER BUBBLY MAXI+ 2 FR, 2EN</t>
  </si>
  <si>
    <t>BABY CARRIER BUBBLY MINI+ 2 FR, N1G</t>
  </si>
  <si>
    <t>BABY CARRIER JOY FRM, N2E</t>
  </si>
  <si>
    <t>CARRIER VISTA STEEL 24, B</t>
  </si>
  <si>
    <t>CARRIER 24 STEEL, S</t>
  </si>
  <si>
    <t>CHAIN 6-SP, 112</t>
  </si>
  <si>
    <t>FC PRS-116PP 36TX152MM BK DOUBLE GD</t>
  </si>
  <si>
    <t>C-COMP RIDER 15 NEO E, B</t>
  </si>
  <si>
    <t>BRYTON</t>
  </si>
  <si>
    <t>C-COMP RIDER 15 Neo C, B</t>
  </si>
  <si>
    <t>C-COMP RIDER 320T CDHR, B</t>
  </si>
  <si>
    <t>GOGGLES BUTEO, BR</t>
  </si>
  <si>
    <t>GOGGLES BUTEO, WB</t>
  </si>
  <si>
    <t>SUNGLASSES TECHNIUM L CE-TCNL2 ROAD, 3B</t>
  </si>
  <si>
    <t>SUNGLASSES TECHNIUM L CE-TCNL2 ROAD, 3W</t>
  </si>
  <si>
    <t>SUNGLASSES TECHNIUM L CE-TCNL2 ROAD, O</t>
  </si>
  <si>
    <t>SUNGLASSES TECHNIUM L CE-TCNL2 ROAD, EW</t>
  </si>
  <si>
    <t>SUNGLASSES TECHNIUM L CE-TCNL2 ROAD, DN</t>
  </si>
  <si>
    <t>FENDER CROSS COUNTRY REAR, B</t>
  </si>
  <si>
    <t>FENDER MUDFLAP XL FOR DOWNTUBE</t>
  </si>
  <si>
    <t>FENDER COLORADO 24/26 SET, B</t>
  </si>
  <si>
    <t>FENDER MISSISSIPI 26/27.5 SET, B</t>
  </si>
  <si>
    <t>CLIP/POP OFF FENDER SIERRA DX</t>
  </si>
  <si>
    <t>FENDER FOR FORK, B</t>
  </si>
  <si>
    <t>FENDER FOR FORK, BR</t>
  </si>
  <si>
    <t>FENDER FOR FORK, BL</t>
  </si>
  <si>
    <t>FENDER M1&amp;M2 F/MTB26 TC9619, B</t>
  </si>
  <si>
    <t>FENDER RC1&amp;RC11 F/700C TC9633, B</t>
  </si>
  <si>
    <t>XBUCKLES F/SHIMANO SHOES, 0, 0</t>
  </si>
  <si>
    <t>SHOES SH-RC903SE, 400, S</t>
  </si>
  <si>
    <t>SHOES SH-XC903E, 430, GN</t>
  </si>
  <si>
    <t>SHOES SH-XC903E, 440, GN</t>
  </si>
  <si>
    <t>SHOES SH-XC903E, 450, GN</t>
  </si>
  <si>
    <t>BUSHING BEARING SET FOR FRAME SUSPENSION</t>
  </si>
  <si>
    <t>FD ADAPTER 41MM F/FOLDING BIKE,B</t>
  </si>
  <si>
    <t>GLOVES ROAD TRIANGLE, L1, R</t>
  </si>
  <si>
    <t>GLOVES KIDS UNICORN, S1, K</t>
  </si>
  <si>
    <t>GLOVES KIDS UNICORN, M, K</t>
  </si>
  <si>
    <t>GLOVES KIDS SPACE, S1, 2L</t>
  </si>
  <si>
    <t>GLOVES KIDS SPACE, M, 2L</t>
  </si>
  <si>
    <t>GLOVES XC TYROS, S2, B</t>
  </si>
  <si>
    <t>GLOVES XC TYROS, S1, B</t>
  </si>
  <si>
    <t>GLOVES XC TYROS, M, B</t>
  </si>
  <si>
    <t>GLOVES XC TYROS, L1, B</t>
  </si>
  <si>
    <t>GLOVES XC TYROS, L2, B</t>
  </si>
  <si>
    <t>GLOVES XC TYROS, S2, 1L</t>
  </si>
  <si>
    <t>GLOVES XC TYROS, S1, 1L</t>
  </si>
  <si>
    <t>GLOVES XC TYROS, M, 1L</t>
  </si>
  <si>
    <t>GLOVES XC TYROS, L1, 1L</t>
  </si>
  <si>
    <t>GLOVES XC TYROS, L2, 1L</t>
  </si>
  <si>
    <t>GLOVES XC TYROS, S2, 2R</t>
  </si>
  <si>
    <t>GLOVES XC TYROS, S1, 2R</t>
  </si>
  <si>
    <t>GLOVES XC TYROS, M, 2R</t>
  </si>
  <si>
    <t>GLOVES XC TYROS, L1, 2R</t>
  </si>
  <si>
    <t>GLOVES XC TYROS, S2, WK</t>
  </si>
  <si>
    <t>GLOVES XC TYROS, S1, WK</t>
  </si>
  <si>
    <t>GLOVES XC TYROS, M, WK</t>
  </si>
  <si>
    <t>GLOVES XC TYROS, L1, WK</t>
  </si>
  <si>
    <t>GLOVES XC TYROS, L2, WK</t>
  </si>
  <si>
    <t>GLOVES ROAD CYNIK, S2, B</t>
  </si>
  <si>
    <t>GLOVES ROAD CYNIK, S1, B</t>
  </si>
  <si>
    <t>GLOVES ROAD CYNIK, M, B</t>
  </si>
  <si>
    <t>GLOVES ROAD CYNIK, L1, B</t>
  </si>
  <si>
    <t>GLOVES ROAD CYNIK, L2, B</t>
  </si>
  <si>
    <t>GLOVES ROAD CYNIK, S2, E</t>
  </si>
  <si>
    <t>GLOVES ROAD CYNIK, S1, E</t>
  </si>
  <si>
    <t>GLOVES ROAD CYNIK, M, E</t>
  </si>
  <si>
    <t>GLOVES ROAD CYNIK, S2, W</t>
  </si>
  <si>
    <t>GLOVES ROAD CYNIK, S1, W</t>
  </si>
  <si>
    <t>GLOVES ROAD CYNIK, M, W</t>
  </si>
  <si>
    <t>GLOVES ROAD CYNIK, L1, W</t>
  </si>
  <si>
    <t>GLOVES ROAD CYNIK, L2, W</t>
  </si>
  <si>
    <t>GLOVES ROAD CYNIK, S2, G</t>
  </si>
  <si>
    <t>GLOVES ROAD CYNIK, S1, G</t>
  </si>
  <si>
    <t>GLOVES ROAD CYNIK, M, G</t>
  </si>
  <si>
    <t>GLOVES ROAD CYNIK, L1, G</t>
  </si>
  <si>
    <t>GLOVES ROAD CYNIK, L2, G</t>
  </si>
  <si>
    <t>GLOVES ADVANCED ECWGLBSVS41M, L1, B</t>
  </si>
  <si>
    <t>GLOVES ROAD FLAIR, S2, 2E</t>
  </si>
  <si>
    <t>GLOVES ROAD FLAIR, S1, 2E</t>
  </si>
  <si>
    <t>GLOVES ROAD FLAIR, M, 2E</t>
  </si>
  <si>
    <t>GLOVES ROAD FLAIR, L1, 2E</t>
  </si>
  <si>
    <t>GLOVES ROAD FLAIR, S2, W</t>
  </si>
  <si>
    <t>GLOVES ROAD FLAIR, S1, W</t>
  </si>
  <si>
    <t>GLOVES ROAD FLAIR, M, W</t>
  </si>
  <si>
    <t>GLOVES ROAD FLAIR, L1, W</t>
  </si>
  <si>
    <t>GLOVES ROAD FLAIR, L2, W</t>
  </si>
  <si>
    <t>GLOVES ROAD FLAIR, S2, R</t>
  </si>
  <si>
    <t>GLOVES ROAD FLAIR, S1, R</t>
  </si>
  <si>
    <t>GLOVES ROAD FLAIR, M, R</t>
  </si>
  <si>
    <t>GLOVES ROAD FLAIR, L1, R</t>
  </si>
  <si>
    <t>GLOVES ROAD FLAIR, L2, R</t>
  </si>
  <si>
    <t>GLOVES ROAD FLAIR, S2, L</t>
  </si>
  <si>
    <t>GLOVES ROAD FLAIR, S1, L</t>
  </si>
  <si>
    <t>GLOVES ROAD FLAIR, M, L</t>
  </si>
  <si>
    <t>GLOVES ROAD FLAIR, L1, L</t>
  </si>
  <si>
    <t>GLOVES ROAD FLAIR, L2, L</t>
  </si>
  <si>
    <t>H.STEM VIBE 100/31.8/-10 ANGLE,B 0582</t>
  </si>
  <si>
    <t>H.STEM VIBE 110/31.8/-10 ANGLE,B 0583</t>
  </si>
  <si>
    <t>H.STEM COMP 4AXIS-44 31.8X100MM, B</t>
  </si>
  <si>
    <t>H.STEM COMP 4AXIS-44 31.8X110MM, B</t>
  </si>
  <si>
    <t>H.STEM COMP 4AXIS-44 31.8X70MM, B</t>
  </si>
  <si>
    <t>H.STEM COMP 4AXIS-44 31.8X80MM, B</t>
  </si>
  <si>
    <t>H.STEM COMP 4AXIS-44 31.8X90MM, B</t>
  </si>
  <si>
    <t>H.STEM COMP 4AXIS-44 1-1/4 31.8X90MM</t>
  </si>
  <si>
    <t>H.STEM COMP 4AXIS-44 1-1/4 31.8X100MM</t>
  </si>
  <si>
    <t>H.STEM COMP 4AXIS-44 1-1/4 31.8X110MM</t>
  </si>
  <si>
    <t>H.BAR MTB TRAIL RIZER 31.8/20/780MM, B</t>
  </si>
  <si>
    <t>H.BAR MTB COMP  KYOTE 31.8X800MM, B</t>
  </si>
  <si>
    <t>H.BAR ROAD CLASSIC EVOCURVE 31.8X400MM,S</t>
  </si>
  <si>
    <t>H.BAR ROAD CLASSIC EVOCURVE 31.8X420MM,S</t>
  </si>
  <si>
    <t>H.BAR ROAD CLASSIC EVOCURVE 31.8X440MM,S</t>
  </si>
  <si>
    <t>H.BAR MTB COMP RIZER 31.8/20/740MM,B</t>
  </si>
  <si>
    <t>H.BAR MTB COMP RIZER 31.8/35/740MM,B</t>
  </si>
  <si>
    <t>H.BAR MTB RIZER 31.8/20/780MM, B</t>
  </si>
  <si>
    <t>H.BAR ROAD BAQUIANO 31.8X400MM, B</t>
  </si>
  <si>
    <t>H.BAR ROAD BAQUIANO 31.8X420MM, B</t>
  </si>
  <si>
    <t>H.BAR ROAD BAQUIANO 31.8X440MM, B</t>
  </si>
  <si>
    <t>H.BAR SPIKE VIBROCORE 35/25/820MM, BL</t>
  </si>
  <si>
    <t>BEARING OD52/52 ID40 8MM 45D</t>
  </si>
  <si>
    <t>H.SET DROP IN IS52/52MM W/ CAP &amp; ICR</t>
  </si>
  <si>
    <t>SPACER WASHER WCS CRB 28.6 10MM 2PCS, F</t>
  </si>
  <si>
    <t>HEAD CAP COMP 1-1/8, B</t>
  </si>
  <si>
    <t>HELMET AIRDROP MIPS, M, E</t>
  </si>
  <si>
    <t>HELMET HIDROP, M, B</t>
  </si>
  <si>
    <t>HELMET HIDROP, L1, B</t>
  </si>
  <si>
    <t>HELMET HIDROP, M, W</t>
  </si>
  <si>
    <t>HELMET HIDROP, L1, W</t>
  </si>
  <si>
    <t>HELMET HIDROP, M, 2L</t>
  </si>
  <si>
    <t>HELMET CH15, L1, B</t>
  </si>
  <si>
    <t>HELMET CH15, M, B</t>
  </si>
  <si>
    <t>HELMET CH15, L1, E</t>
  </si>
  <si>
    <t>HELMET MH15, L1, B</t>
  </si>
  <si>
    <t>HELMET MH15, M, B</t>
  </si>
  <si>
    <t>HELMET MH15, L1, L</t>
  </si>
  <si>
    <t>HELMET MH15, M, L</t>
  </si>
  <si>
    <t>HELMET MH15, M, G</t>
  </si>
  <si>
    <t>HELMET MH15, L1, G</t>
  </si>
  <si>
    <t>HELMET SH15, M, B</t>
  </si>
  <si>
    <t>HELMET SH15, M, 1EP</t>
  </si>
  <si>
    <t>HELMET RH15, L1, Y</t>
  </si>
  <si>
    <t>HELMET RH15, M, Y</t>
  </si>
  <si>
    <t>HELMET RH15, M, G</t>
  </si>
  <si>
    <t>HELMET RH15, L1, G</t>
  </si>
  <si>
    <t>HELMET KIDS UNICORN, S1, K</t>
  </si>
  <si>
    <t>HELMET KIDS UNICORN, M, K</t>
  </si>
  <si>
    <t>HELMET KIDS FRIENDS DINO, S1, G</t>
  </si>
  <si>
    <t>HELMET KIDS FRIENDS DINO, M, G</t>
  </si>
  <si>
    <t>HELMET KIDS SPACE, S1, 2L</t>
  </si>
  <si>
    <t>HELMET KIDS SPACE, M, 2L</t>
  </si>
  <si>
    <t>HELMET BASALT, M, O</t>
  </si>
  <si>
    <t>HELMET KIDS CAR, S1, B</t>
  </si>
  <si>
    <t>HELMET KIDS CAR, M, B</t>
  </si>
  <si>
    <t>HELMET KIDS CAR, S1, R</t>
  </si>
  <si>
    <t>HELMET KIDS CAR, M, R</t>
  </si>
  <si>
    <t>HUB FRONT OLD100 6BLT TA+QR, F32, B</t>
  </si>
  <si>
    <t>HUB FRONT OLD110 6BLT BOOST, F32, B</t>
  </si>
  <si>
    <t>HUB REAR 12SP OLD148 6BLT BOOST, R32, B</t>
  </si>
  <si>
    <t>HUB FRONT DC-20 ALLOY QR, F32, B</t>
  </si>
  <si>
    <t>HUB FRONT FM-21 QR ALLOY, F32, S</t>
  </si>
  <si>
    <t>HUB REAR FM-31 ALLOY 7-SP NUT, R32, S</t>
  </si>
  <si>
    <t>HUB FRONT RB-31 ALLOY QR, F32, W</t>
  </si>
  <si>
    <t>HUB FRONT JY-435 STEEL NUT, 32, B</t>
  </si>
  <si>
    <t>XHUB FRONT NUT TYPE, F36, S</t>
  </si>
  <si>
    <t>HUB FRONT JY-301 STEEL NUT, F36, C</t>
  </si>
  <si>
    <t>HUB FRONT QR TYPE, F36, S</t>
  </si>
  <si>
    <t>HUB TH-30 FRONT ALLOY NUT, 36, L</t>
  </si>
  <si>
    <t>HUB TH-30 FRONT ALLOY NUT, 36, R</t>
  </si>
  <si>
    <t>HUB TH-30 FRONT ALLOY NUT, 36, W</t>
  </si>
  <si>
    <t>HUB TH-31 REAR ALLOY NUT, 36, R</t>
  </si>
  <si>
    <t>HUB TH-31 REAR ALLOY NUT, 36, W</t>
  </si>
  <si>
    <t>HUB FRONT OLD 100, 6 BOLTS QR, 32, B</t>
  </si>
  <si>
    <t>HUB FRONT XTRADA 5/6, CENTER LOC, F32, B</t>
  </si>
  <si>
    <t>HUB FRONT D471SBT ALLOY QR 6B, F32, B</t>
  </si>
  <si>
    <t>HUB REAR D242SBT ALLOY 7SP QR 6B, F32, B</t>
  </si>
  <si>
    <t>JERSEY ROAD SHORT BASIC, M, K</t>
  </si>
  <si>
    <t>JERSEY ROAD SHORT BASIC, L2, K</t>
  </si>
  <si>
    <t>JERSEY BLOW SHORT SLEEVES, L2, 0</t>
  </si>
  <si>
    <t>JERSEY AEROLITE PCWJSPSVE21M, L2, 2E</t>
  </si>
  <si>
    <t>R.LAMP USB PG-100 EMOJI DIY BR SENSOR, R</t>
  </si>
  <si>
    <t>LOCK 1200 WEB W/NUM, R</t>
  </si>
  <si>
    <t>LOCK 1500 WEB W/KEY 110, B</t>
  </si>
  <si>
    <t>LOCK 1500 WEB W/KEY 110, R</t>
  </si>
  <si>
    <t>LOCK SPIRAL WITH RESETABLE COMBINATIO, B</t>
  </si>
  <si>
    <t>BIKE WASH 1 LITER</t>
  </si>
  <si>
    <t>FINISH LINE</t>
  </si>
  <si>
    <t>CITRUS DEGREASER 12OZ</t>
  </si>
  <si>
    <t>ECOTECH CLNER &amp; DEGREASER 12 OZ</t>
  </si>
  <si>
    <t>PREMIUM TEFLON GREASE 3.5OZ</t>
  </si>
  <si>
    <t>KRYTECH WAX LUBE 4OZ (GREY)</t>
  </si>
  <si>
    <t>SHOP CHAIN CLEANER KIT</t>
  </si>
  <si>
    <t>SPEED CLEAN DEGREASER 18OZ</t>
  </si>
  <si>
    <t>STANCHION FORK STICTION LUBE</t>
  </si>
  <si>
    <t>CITRUS DEGREASER 20OZ</t>
  </si>
  <si>
    <t>EASY PRO BRUSH SET</t>
  </si>
  <si>
    <t>ASSEMBLY ANTI-SEIZE LUBE 3 T</t>
  </si>
  <si>
    <t>CERAMIC GREASE 2 OZ</t>
  </si>
  <si>
    <t>CITRUS DEGREASER 1GL</t>
  </si>
  <si>
    <t>CROSS COUNTRY WET LUBE 8OZ GREEN</t>
  </si>
  <si>
    <t>FIBER GRIP 1.75 OZ TUBE</t>
  </si>
  <si>
    <t>FIBER GRIP 1LB TUB</t>
  </si>
  <si>
    <t>ECOTECH MULTI DEGREASER 20OZ</t>
  </si>
  <si>
    <t>BRAKE FLUID DOT 4OZ / 120ML</t>
  </si>
  <si>
    <t>BRAKE FLUID MINERAL OIL 4OZ / 120ML</t>
  </si>
  <si>
    <t>NO DRIP CHAIN LUBER FOR 2OZ, BOTTLE ONLY</t>
  </si>
  <si>
    <t>E-SHIFT ELECTRIC GROUPSET CLEANER 9OZ</t>
  </si>
  <si>
    <t>1-STEP CLEANER 17OZ BLUE</t>
  </si>
  <si>
    <t>CERAMIC WAX LUBE 2OZ BROWN/BLUE</t>
  </si>
  <si>
    <t>CERAMIC WET LUBE 2OZ BROWN GREEN</t>
  </si>
  <si>
    <t>PEDAL &amp; CLEAT LUBE 5OZ</t>
  </si>
  <si>
    <t>BIKE CARE PACK ECOTECH/DRY/BIKE WASH 4OZ</t>
  </si>
  <si>
    <t>BIKE CARE PACK ECOTECH/WET/BIKE WASH 4OZ</t>
  </si>
  <si>
    <t>CERAMIC WAX LUBE 4OZ BROWN/BLUE</t>
  </si>
  <si>
    <t>CERAMIC WET LUBE 4OZ BROWN/GREEN</t>
  </si>
  <si>
    <t>GEAR FLOSS 20 PCS</t>
  </si>
  <si>
    <t>ASSEMBLY LUBE 3X6.5CC SACHET -ANTISIEZE</t>
  </si>
  <si>
    <t>CERAMIC GREASE, 1LB</t>
  </si>
  <si>
    <t>PRO DETAILER POLISH/PROTECT 1 LITER</t>
  </si>
  <si>
    <t>MAX SUSPENSION SPRAY 9OZ</t>
  </si>
  <si>
    <t>DISC BRAKE CLEANER 10 OZ</t>
  </si>
  <si>
    <t>REBUILD KIT SHOP QUALITY CHAIN CLEANER</t>
  </si>
  <si>
    <t>CHILL ZONE RUST REMOVER 17 OZ</t>
  </si>
  <si>
    <t>SHOWROOM POLISH CT 12 OZ</t>
  </si>
  <si>
    <t>TEFLON PLUS DRY LUBE CT 8 OZ SQZ</t>
  </si>
  <si>
    <t>PEDAL &amp; CLEAT LUBE CT 5OZ</t>
  </si>
  <si>
    <t>PRO DETAILER POLISH/PROTECT CT 1 LITER</t>
  </si>
  <si>
    <t>TEFLON PLUS DRY LUBE CT 3.78L</t>
  </si>
  <si>
    <t>CROSS COUNTRY WET LUBE 3.78L GREEN</t>
  </si>
  <si>
    <t>BIKE WASH 3.78L</t>
  </si>
  <si>
    <t>POST PASTE GREASE FOR DROPPER SEATPOST</t>
  </si>
  <si>
    <t>AM FORK SVC KIT 30G A1</t>
  </si>
  <si>
    <t>AM FORK SVC KIT BXR RC</t>
  </si>
  <si>
    <t>AM FORK SVC KIT PIKE 35MM DPA, A1</t>
  </si>
  <si>
    <t>AM FORK SVC KIT RBA A3</t>
  </si>
  <si>
    <t>AM FORK SVC KIT RECON SVR RL SA B1</t>
  </si>
  <si>
    <t>AM FORK SVC KIT RVL 2P A3</t>
  </si>
  <si>
    <t>AM FORK SVC KIT SKTR SVR RL SA A2</t>
  </si>
  <si>
    <t>AM FORK SVC KIT SKTR TK SA 2013</t>
  </si>
  <si>
    <t>AM FORK SVC KIT XC32 SA A3</t>
  </si>
  <si>
    <t>AM SVC KIT 200H/1YR PIKE SA A2</t>
  </si>
  <si>
    <t>AM SVC KIT 200H/1YR YARI SA A1</t>
  </si>
  <si>
    <t>AM SVC KIT BOXXER TEAM CHARGER</t>
  </si>
  <si>
    <t>AM SVC KIT BOXXER WC CHARGER</t>
  </si>
  <si>
    <t>BOTTOMLESS TOKENS 35MM DPA QTY 3</t>
  </si>
  <si>
    <t>BOTTOMLESS TOKENS 35MM QTY 3</t>
  </si>
  <si>
    <t>BRASS KEYS SIZE3 REVERB/STLTH QTY3</t>
  </si>
  <si>
    <t>BRASS KEYS SIZE4 REVERB/STLTH QTY3</t>
  </si>
  <si>
    <t>BRASS KEYS SIZE5 REVERB/STLTH QTY3</t>
  </si>
  <si>
    <t>BRASS KEYS SIZE6 REVERB/STLTH QTY3</t>
  </si>
  <si>
    <t>HOSE BARB REVERB POST QTY 1</t>
  </si>
  <si>
    <t>HOSE BARB REVERB REMOTE QTY 1</t>
  </si>
  <si>
    <t>INNER SEALHEAD REVERB B1</t>
  </si>
  <si>
    <t>INNER SEALHEAD REVERBSTLTH B1</t>
  </si>
  <si>
    <t>MAXLE LEVER ASSY LITE 15MM XC</t>
  </si>
  <si>
    <t>MAXLE ULTIMATE LEVER ASSY B1</t>
  </si>
  <si>
    <t>AM FORK SVC KIT LYRIK RCT3 2P A1</t>
  </si>
  <si>
    <t>AM FORK SVC KIT RCNGLD 2013/A3</t>
  </si>
  <si>
    <t>AM FORK SVC KIT SID A3</t>
  </si>
  <si>
    <t>AM RS SVC KIT 50H VIVID AIR B1</t>
  </si>
  <si>
    <t>SUSPENSION CLEANER 16.9OZ</t>
  </si>
  <si>
    <t>TOP CAP SOLO AIR LYRIK B1/YARI/PIKE B</t>
  </si>
  <si>
    <t>SERVICE KIT 200H 1YR REVERBSTLTH A2</t>
  </si>
  <si>
    <t>SERVICE KIT 200H 1YR REVERB A2</t>
  </si>
  <si>
    <t>TOP CAP AIR XC32/RECON SILVER BLK</t>
  </si>
  <si>
    <t>BALL NYLON MON/MON PLUS</t>
  </si>
  <si>
    <t>BRAKE PADS RC 0 NITE (4 pcs) CAMPY</t>
  </si>
  <si>
    <t>FULCRUM</t>
  </si>
  <si>
    <t>BRAKE PADS RC 0 NITE (4 pcs) SHIMANO</t>
  </si>
  <si>
    <t>CABLE END CAP ID 2/OD 3 MM 100X</t>
  </si>
  <si>
    <t>BRAKE SHOE ROAD TEKTRO P473</t>
  </si>
  <si>
    <t>REMOTE KG DROP 1.0 F/GRAVEL</t>
  </si>
  <si>
    <t>WESTY REMOTE F/ DROPPER POST</t>
  </si>
  <si>
    <t>AM RMT UPGR ONELOC FS REMOTE KIT L 10MM</t>
  </si>
  <si>
    <t>AM RMT UPGR ONELOC FS REMOTE KIT R 10MM</t>
  </si>
  <si>
    <t>REMOTE LEVER ASSY/HOSE RTMMX REVERB NEW</t>
  </si>
  <si>
    <t>REMOTE LVR ASSY/HOSE LFTMMX REVERB STEAL</t>
  </si>
  <si>
    <t>SCHRADER VALVE CORE QTY 2</t>
  </si>
  <si>
    <t>MASK CARTRIDGE FILTER REFILL 6-PACK</t>
  </si>
  <si>
    <t>BIOLOGIC</t>
  </si>
  <si>
    <t>C-COMP CY USBKIT DONGLE, B</t>
  </si>
  <si>
    <t>PART KIT FOR HL-EL120</t>
  </si>
  <si>
    <t>STERZO SMART STEERING BLOCK</t>
  </si>
  <si>
    <t>STICKER PROTECTOR ST45</t>
  </si>
  <si>
    <t>CABLE REMOTE ONLY FOR TRAINER</t>
  </si>
  <si>
    <t>SWINGER FOR BOTTLE CAGE</t>
  </si>
  <si>
    <t>OMNI RIDECASE W/ STRAP MOUNT TT9849B</t>
  </si>
  <si>
    <t>BRAKE TROMOL SIERRA DX</t>
  </si>
  <si>
    <t>Other brakes sets</t>
  </si>
  <si>
    <t>BATTERY ENTITY EBR-SPCL LI 36V W/CHRG</t>
  </si>
  <si>
    <t>PEDAL SPIKE, B</t>
  </si>
  <si>
    <t>F.PUMP ALLOY SMART TUBELESS 200 PSI, B</t>
  </si>
  <si>
    <t>MPUMP PEAKINI II 90PSI TPKN-2, B</t>
  </si>
  <si>
    <t>MPUMP MOUNTAIN TT G 60PSI TMTT-1G</t>
  </si>
  <si>
    <t>MPUMP RACEROCKET 120PSI TRR-2S, S</t>
  </si>
  <si>
    <t>MPUMP RACEROCKET HP 160PSI TRR-HP2B, B</t>
  </si>
  <si>
    <t>MPUMP RACEROCKET HP 160PSI TRR-HP2S, S</t>
  </si>
  <si>
    <t>MPUMP ROADIE 2STAGE TRD-2STG,B</t>
  </si>
  <si>
    <t>XREBUILD MASTER KIT FOR DOUBLE SHOT 820</t>
  </si>
  <si>
    <t>ZEFAL</t>
  </si>
  <si>
    <t>XREFLECTOR BRACKET JING FENG S/POST 25.4</t>
  </si>
  <si>
    <t>FRAME REFLECTOR RED 02</t>
  </si>
  <si>
    <t>XREFLECTOR BRACKET SW-508D R 25.4</t>
  </si>
  <si>
    <t>RIM SUPRA 34 DISC DH 26, 32, W</t>
  </si>
  <si>
    <t>ALEX</t>
  </si>
  <si>
    <t>RIM DISC BULL 26X1.75, 36, S</t>
  </si>
  <si>
    <t>RIM RIVAL 26X1.75, 36, W</t>
  </si>
  <si>
    <t>RIM TRS DISC 26X1.5, 32, S</t>
  </si>
  <si>
    <t>SADDLE SCIENTIA A2 MEDIUM ATLT UNI, B</t>
  </si>
  <si>
    <t>SADDLE SCIENTIA A3 LARGE ATLT UNI, B</t>
  </si>
  <si>
    <t>SADDLE SCIENTIA M1 SMALL MDRT UNI, B</t>
  </si>
  <si>
    <t>SADDLE SCIENTIA A1 SMALL ATLT UNI, B</t>
  </si>
  <si>
    <t>SADDLE T FREEWAY FIT ATH UNI, B</t>
  </si>
  <si>
    <t>SADDLE T LOOKIN ATH UNI, B</t>
  </si>
  <si>
    <t>SADDLE ON ATH UNI (E-BIKE), B</t>
  </si>
  <si>
    <t>SADDLE EXPLORA ATH UNI, B</t>
  </si>
  <si>
    <t>SEAT CLAMP 35MM Y21, L, B</t>
  </si>
  <si>
    <t>SEAT CLAMP 40 QR, 0, B</t>
  </si>
  <si>
    <t>SEAT CLAMP 40.1MM QR, L, B</t>
  </si>
  <si>
    <t>S.CLAMP/S.PIN QR, S, S</t>
  </si>
  <si>
    <t>SEAT PIN QR, 0, S</t>
  </si>
  <si>
    <t>SEAT CLAMP 31.8 MM QR, M, B</t>
  </si>
  <si>
    <t>SEAT CLAMP 28.6 MM QR, S, B</t>
  </si>
  <si>
    <t>SEAT CLAMP 35MM QR, L, B</t>
  </si>
  <si>
    <t>S.POST SUSP KSP900-i T100 30.9X345MM</t>
  </si>
  <si>
    <t>S.POST SUSP KSP900-i T125 30.9X395MM</t>
  </si>
  <si>
    <t>S.POST SUSP Q LEV DX-R T100 31.6X335</t>
  </si>
  <si>
    <t>S.POST COMP ZERO 27.2X400MM, B</t>
  </si>
  <si>
    <t>BASE LAYER BASIC PRO, S1, W</t>
  </si>
  <si>
    <t>BASE LAYER BASIC PRO, M, W</t>
  </si>
  <si>
    <t>BASE LAYER BASIC PRO, L1, W</t>
  </si>
  <si>
    <t>BASE LAYER BASIC PRO, L2, W</t>
  </si>
  <si>
    <t>BASE LAYER BASIC PRO, S2, W</t>
  </si>
  <si>
    <t>STAND ADJUSTABLE 26-28" FIT ON CS, B</t>
  </si>
  <si>
    <t>STAND FLASH FAT TW007 F/MTB, S</t>
  </si>
  <si>
    <t>SWING-UP DX BIKE HOLDER TW019, B</t>
  </si>
  <si>
    <t>XTIRE STRADIUS ELITE-Z 700X20C</t>
  </si>
  <si>
    <t>TIRE Q HN.DAMPF 27.5X2.35 P,F,TR,B ADX</t>
  </si>
  <si>
    <t>TIRE Q KOJAK 16X1.25 P, W, B (BROMPTON)</t>
  </si>
  <si>
    <t>TIRE PRO ONE TT SKIN 700X25C E, TLE, F</t>
  </si>
  <si>
    <t>TIRE R.RALPH 27.5X2.25 ADDIX P, F, TR, B</t>
  </si>
  <si>
    <t>TIRE RC.RALPH 29X2.25 ADX P, F, B</t>
  </si>
  <si>
    <t>TIRE RRON 29X2.10 ADX P, F, B</t>
  </si>
  <si>
    <t>TIRE RRALPH EVO SGROUND TLE 29X2.25 ADSP</t>
  </si>
  <si>
    <t>TIRE T.TOM 27.5X2.25 A,W,KG,B</t>
  </si>
  <si>
    <t>TIRE G-ONE SPD 27.5X2.00 ADX T,TLE,P,F,M</t>
  </si>
  <si>
    <t>TIRE WICKED WILL 29X2.4 S.Trail TLE,F,B</t>
  </si>
  <si>
    <t>TIRE G-ONE ARND 27.5X2.25 P,F,DDRC,ADX,B</t>
  </si>
  <si>
    <t>TIRE RRON 29X2.25 E, F, SR, ADSP, TLE, B</t>
  </si>
  <si>
    <t>TOOLSET TORQUE WRENCH</t>
  </si>
  <si>
    <t>TIRE LEVER TL01 NYLON 3 PCS, B</t>
  </si>
  <si>
    <t>TOOL - RK15 REPAIR KIT</t>
  </si>
  <si>
    <t>TOOL - CBT015 CHAIN BREAKER TOOL</t>
  </si>
  <si>
    <t>TOOL - CRT015 CASSETTE REMOVAL TOOL</t>
  </si>
  <si>
    <t>TOOL - CWT015 CHAIN WHIP TOOL</t>
  </si>
  <si>
    <t>TOOL - SKW003 SPOKE KEY WRENCH 3PCS</t>
  </si>
  <si>
    <t>TOOL - SCT030 SHIMANO CRANK TOOL</t>
  </si>
  <si>
    <t>TOOL - PWT015 PEDAL WRENCH</t>
  </si>
  <si>
    <t>TOOL SPOKE ANTI-ROTATION T-02</t>
  </si>
  <si>
    <t>NIPPLE GUIDE MAGNET T-05</t>
  </si>
  <si>
    <t>TOOL F/SPOKE WRENCH MAVIC</t>
  </si>
  <si>
    <t>REPAIR PLUGS SHEET, 1X10PCS</t>
  </si>
  <si>
    <t>TORQUE KEY 5NM</t>
  </si>
  <si>
    <t>XTRAINING WHEEL SW-303F 16 UCP</t>
  </si>
  <si>
    <t>Training Wheel</t>
  </si>
  <si>
    <t>TUBE SUPER 26X1.625-2.10 FV</t>
  </si>
  <si>
    <t>Tube</t>
  </si>
  <si>
    <t>TUBE SUPER 26X2.10-2.50 AV</t>
  </si>
  <si>
    <t>TUBE R-AIR 26X1.0-1.25 FV</t>
  </si>
  <si>
    <t>TUBE SUPER 700X28-32C AV</t>
  </si>
  <si>
    <t>TUBE SUPER 700X35-40C AV</t>
  </si>
  <si>
    <t>WH SET S RC 0 CRB DB C.LOCK C19 CL HG</t>
  </si>
  <si>
    <t>WH SET V RC 6 DB C20 2WF HG 11SP, B</t>
  </si>
  <si>
    <r>
      <rPr>
        <b/>
        <sz val="11"/>
        <color theme="1"/>
        <rFont val="Aptos Narrow"/>
        <family val="2"/>
        <scheme val="minor"/>
      </rPr>
      <t>Pesta Merdeka Diskon Lempar Gelang</t>
    </r>
    <r>
      <rPr>
        <sz val="11"/>
        <color theme="1"/>
        <rFont val="Aptos Narrow"/>
        <family val="2"/>
        <scheme val="minor"/>
      </rPr>
      <t xml:space="preserve">
(Diskon tambahan hingga 10%)</t>
    </r>
  </si>
  <si>
    <r>
      <rPr>
        <b/>
        <sz val="11"/>
        <color theme="1"/>
        <rFont val="Aptos Narrow"/>
        <family val="2"/>
        <scheme val="minor"/>
      </rPr>
      <t>Pesta Merdeka Diskon hingga 81% PAA</t>
    </r>
    <r>
      <rPr>
        <sz val="11"/>
        <color theme="1"/>
        <rFont val="Aptos Narrow"/>
        <family val="2"/>
        <scheme val="minor"/>
      </rPr>
      <t xml:space="preserve">
</t>
    </r>
  </si>
  <si>
    <t>1-31 Desember 2026</t>
  </si>
  <si>
    <t>1-31 Agustus 2026</t>
  </si>
  <si>
    <t>Diskon hingga 81% untuk parts dan aksesoris pilihan.</t>
  </si>
  <si>
    <t>Mendapatkan diskon tambahan sebagai berikut:
Gelang 0: 5%
Gelang 1: 6%
Gelang 2: 7%
Gelang 3: 8%
Gelang 4: 9%
Gelang 5: 10%</t>
  </si>
  <si>
    <t>BACKPACK CATEGORY</t>
  </si>
  <si>
    <t>Qty</t>
  </si>
  <si>
    <t>Harga Retail</t>
  </si>
  <si>
    <t>Diskon Retail</t>
  </si>
  <si>
    <t>Spesial Retail</t>
  </si>
  <si>
    <t>BACKPACK ENROUTE 4 21L BLACK, B</t>
  </si>
  <si>
    <t>BACKPACK ENROUTE 4 21L MALLARD GREEN, G</t>
  </si>
  <si>
    <t>BACKPACK ENROUTE 4 21L PELICAN GRAY, E</t>
  </si>
  <si>
    <t>BIKE CARRIER CATEGORY</t>
  </si>
  <si>
    <t>BIKE CARRIER OUTWAY PLATFORM 2 BIKE</t>
  </si>
  <si>
    <t>THULE</t>
  </si>
  <si>
    <t>Car Rack System</t>
  </si>
  <si>
    <r>
      <rPr>
        <b/>
        <sz val="11"/>
        <color theme="1"/>
        <rFont val="Aptos Narrow"/>
        <family val="2"/>
        <scheme val="minor"/>
      </rPr>
      <t>Pesta Merdeka Diskon 10% Thule</t>
    </r>
    <r>
      <rPr>
        <sz val="11"/>
        <color theme="1"/>
        <rFont val="Aptos Narrow"/>
        <family val="2"/>
        <scheme val="minor"/>
      </rPr>
      <t xml:space="preserve">
</t>
    </r>
  </si>
  <si>
    <t>Diskon 10% untuk tas dan bike carrier pilihan.</t>
  </si>
  <si>
    <t>26PA513RITS</t>
  </si>
  <si>
    <t>26MD060RITJ</t>
  </si>
  <si>
    <t>26MD061RITJD</t>
  </si>
  <si>
    <t>Disc (%)</t>
  </si>
  <si>
    <t>Disc (Rp)</t>
  </si>
  <si>
    <t>Nett Price (Rp)</t>
  </si>
  <si>
    <t>Discount Aging</t>
  </si>
  <si>
    <r>
      <rPr>
        <b/>
        <u/>
        <sz val="11"/>
        <color theme="1"/>
        <rFont val="Aptos Narrow"/>
        <family val="2"/>
        <scheme val="minor"/>
      </rPr>
      <t>Manual</t>
    </r>
    <r>
      <rPr>
        <b/>
        <sz val="11"/>
        <color theme="1"/>
        <rFont val="Aptos Narrow"/>
        <family val="2"/>
        <scheme val="minor"/>
      </rPr>
      <t xml:space="preserve">
*Besaran diskon dapat diinput secara manual pada setiap article.
*Berlaku untuk transaksi PAA non promo minimal Rp. 500 Ribu.
*Dapat digabungkan dengan transaksi sepeda.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</si>
</sst>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">
    <xf numFmtId="0" fontId="0" fillId="0" borderId="0" xfId="0"/>
    <xf numFmtId="9" fontId="0" fillId="0" borderId="0" xfId="2" applyFont="1"/>
    <xf numFmtId="0" fontId="2" fillId="0" borderId="0" xfId="0" applyFont="1" applyAlignment="1">
      <alignment horizontal="center"/>
    </xf>
    <xf numFmtId="41" fontId="0" fillId="0" borderId="0" xfId="3" applyFont="1"/>
    <xf numFmtId="41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1" fontId="2" fillId="0" borderId="0" xfId="3" applyFont="1" applyAlignment="1">
      <alignment horizontal="center"/>
    </xf>
    <xf numFmtId="9" fontId="2" fillId="0" borderId="0" xfId="2" applyFont="1" applyAlignment="1">
      <alignment horizontal="center"/>
    </xf>
    <xf numFmtId="41" fontId="2" fillId="0" borderId="0" xfId="3" applyFont="1" applyAlignment="1">
      <alignment vertical="center" wrapText="1"/>
    </xf>
    <xf numFmtId="0" fontId="0" fillId="0" borderId="1" xfId="0" applyBorder="1"/>
    <xf numFmtId="41" fontId="0" fillId="0" borderId="1" xfId="3" applyFont="1" applyBorder="1"/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Fill="1" applyAlignment="1">
      <alignment horizontal="center" vertical="center" wrapText="1"/>
    </xf>
    <xf numFmtId="9" fontId="2" fillId="0" borderId="0" xfId="2" applyFont="1" applyFill="1" applyAlignment="1">
      <alignment horizontal="center" vertical="center" wrapText="1"/>
    </xf>
    <xf numFmtId="165" fontId="0" fillId="0" borderId="0" xfId="1" applyNumberFormat="1" applyFont="1" applyFill="1"/>
    <xf numFmtId="9" fontId="0" fillId="0" borderId="0" xfId="2" applyFont="1" applyFill="1"/>
    <xf numFmtId="0" fontId="0" fillId="0" borderId="0" xfId="0" applyAlignment="1">
      <alignment horizontal="center" vertical="center"/>
    </xf>
    <xf numFmtId="41" fontId="0" fillId="0" borderId="0" xfId="3" applyFont="1" applyFill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0" borderId="0" xfId="0" applyFont="1"/>
    <xf numFmtId="0" fontId="2" fillId="4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41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6BC7-7318-45E3-A91B-609FBD72FDE1}">
  <dimension ref="A1:G7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.36328125" bestFit="1" customWidth="1"/>
    <col min="2" max="2" width="34.6328125" customWidth="1"/>
    <col min="3" max="3" width="9.6328125" customWidth="1"/>
    <col min="4" max="4" width="14.08984375" customWidth="1"/>
    <col min="5" max="5" width="10.36328125" bestFit="1" customWidth="1"/>
    <col min="6" max="6" width="45.90625" customWidth="1"/>
    <col min="7" max="7" width="65.7265625" customWidth="1"/>
  </cols>
  <sheetData>
    <row r="1" spans="1:7" ht="16" x14ac:dyDescent="0.35">
      <c r="A1" s="7" t="s">
        <v>1379</v>
      </c>
      <c r="B1" s="8" t="s">
        <v>1380</v>
      </c>
      <c r="C1" s="7" t="s">
        <v>1381</v>
      </c>
      <c r="D1" s="7" t="s">
        <v>1382</v>
      </c>
      <c r="E1" s="7" t="s">
        <v>1383</v>
      </c>
      <c r="F1" s="7" t="s">
        <v>1384</v>
      </c>
      <c r="G1" s="7" t="s">
        <v>1385</v>
      </c>
    </row>
    <row r="2" spans="1:7" ht="87" x14ac:dyDescent="0.35">
      <c r="A2" s="9">
        <v>1</v>
      </c>
      <c r="B2" s="10" t="s">
        <v>1386</v>
      </c>
      <c r="C2" s="11" t="s">
        <v>2118</v>
      </c>
      <c r="D2" s="9" t="s">
        <v>1387</v>
      </c>
      <c r="E2" s="12" t="s">
        <v>1388</v>
      </c>
      <c r="F2" s="13" t="s">
        <v>1389</v>
      </c>
      <c r="G2" s="10" t="s">
        <v>1390</v>
      </c>
    </row>
    <row r="3" spans="1:7" ht="145" x14ac:dyDescent="0.35">
      <c r="A3" s="9">
        <v>2</v>
      </c>
      <c r="B3" s="11" t="s">
        <v>1391</v>
      </c>
      <c r="C3" s="11" t="s">
        <v>2118</v>
      </c>
      <c r="D3" s="12" t="s">
        <v>1392</v>
      </c>
      <c r="E3" s="12" t="s">
        <v>1388</v>
      </c>
      <c r="F3" s="13" t="s">
        <v>1393</v>
      </c>
      <c r="G3" s="11" t="s">
        <v>1394</v>
      </c>
    </row>
    <row r="4" spans="1:7" ht="101.5" x14ac:dyDescent="0.35">
      <c r="A4" s="14">
        <v>3</v>
      </c>
      <c r="B4" s="15" t="s">
        <v>2116</v>
      </c>
      <c r="C4" s="15" t="s">
        <v>2119</v>
      </c>
      <c r="D4" s="16" t="s">
        <v>2137</v>
      </c>
      <c r="E4" s="17" t="s">
        <v>1388</v>
      </c>
      <c r="F4" s="18" t="s">
        <v>2143</v>
      </c>
      <c r="G4" s="15" t="s">
        <v>2121</v>
      </c>
    </row>
    <row r="5" spans="1:7" ht="43.5" x14ac:dyDescent="0.35">
      <c r="A5" s="14">
        <v>4</v>
      </c>
      <c r="B5" s="15" t="s">
        <v>2117</v>
      </c>
      <c r="C5" s="15" t="s">
        <v>2119</v>
      </c>
      <c r="D5" s="16" t="s">
        <v>2136</v>
      </c>
      <c r="E5" s="17" t="s">
        <v>1395</v>
      </c>
      <c r="F5" s="18" t="s">
        <v>1396</v>
      </c>
      <c r="G5" s="15" t="s">
        <v>2120</v>
      </c>
    </row>
    <row r="6" spans="1:7" ht="43.5" x14ac:dyDescent="0.35">
      <c r="A6" s="14">
        <v>5</v>
      </c>
      <c r="B6" s="15" t="s">
        <v>2134</v>
      </c>
      <c r="C6" s="15" t="s">
        <v>2119</v>
      </c>
      <c r="D6" s="16" t="s">
        <v>2138</v>
      </c>
      <c r="E6" s="17" t="s">
        <v>1395</v>
      </c>
      <c r="F6" s="18" t="s">
        <v>1396</v>
      </c>
      <c r="G6" s="15" t="s">
        <v>2135</v>
      </c>
    </row>
    <row r="7" spans="1:7" ht="43.5" x14ac:dyDescent="0.35">
      <c r="A7" s="14">
        <v>6</v>
      </c>
      <c r="B7" s="19" t="s">
        <v>1397</v>
      </c>
      <c r="C7" s="15" t="s">
        <v>2119</v>
      </c>
      <c r="D7" s="16" t="s">
        <v>1398</v>
      </c>
      <c r="E7" s="16" t="s">
        <v>1388</v>
      </c>
      <c r="F7" s="19" t="s">
        <v>1399</v>
      </c>
      <c r="G7" s="15" t="s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11F0-B032-46DC-9E7E-CD3235482D56}">
  <dimension ref="A2:T1199"/>
  <sheetViews>
    <sheetView zoomScale="85" zoomScaleNormal="85" workbookViewId="0">
      <pane xSplit="4" ySplit="2" topLeftCell="F3" activePane="bottomRight" state="frozen"/>
      <selection pane="topRight" activeCell="E1" sqref="E1"/>
      <selection pane="bottomLeft" activeCell="A3" sqref="A3"/>
      <selection pane="bottomRight" activeCell="F8" sqref="F8"/>
    </sheetView>
  </sheetViews>
  <sheetFormatPr defaultColWidth="9.1796875" defaultRowHeight="14.5" x14ac:dyDescent="0.35"/>
  <cols>
    <col min="1" max="1" width="13.453125" bestFit="1" customWidth="1"/>
    <col min="2" max="2" width="42.90625" bestFit="1" customWidth="1"/>
    <col min="3" max="3" width="16.90625" bestFit="1" customWidth="1"/>
    <col min="4" max="4" width="19.26953125" bestFit="1" customWidth="1"/>
    <col min="5" max="5" width="11.6328125" style="30" bestFit="1" customWidth="1"/>
    <col min="6" max="6" width="10.1796875" style="28" bestFit="1" customWidth="1"/>
    <col min="7" max="7" width="12" style="28" customWidth="1"/>
    <col min="8" max="8" width="9.6328125" style="28" customWidth="1"/>
    <col min="9" max="9" width="10" style="28" bestFit="1" customWidth="1"/>
    <col min="10" max="10" width="9.7265625" style="28" customWidth="1"/>
    <col min="11" max="11" width="12.1796875" bestFit="1" customWidth="1"/>
    <col min="12" max="12" width="10" style="29" bestFit="1" customWidth="1"/>
    <col min="13" max="13" width="10" style="29" customWidth="1"/>
    <col min="14" max="14" width="14.81640625" style="28" bestFit="1" customWidth="1"/>
    <col min="15" max="15" width="14.81640625" style="28" customWidth="1"/>
  </cols>
  <sheetData>
    <row r="2" spans="1:15" ht="29" x14ac:dyDescent="0.35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5" t="s">
        <v>10</v>
      </c>
      <c r="L2" s="27" t="s">
        <v>2139</v>
      </c>
      <c r="M2" s="27" t="s">
        <v>2140</v>
      </c>
      <c r="N2" s="26" t="s">
        <v>2141</v>
      </c>
      <c r="O2" s="26" t="s">
        <v>1657</v>
      </c>
    </row>
    <row r="3" spans="1:15" x14ac:dyDescent="0.35">
      <c r="A3">
        <v>741170001</v>
      </c>
      <c r="B3" t="s">
        <v>1658</v>
      </c>
      <c r="C3" t="s">
        <v>28</v>
      </c>
      <c r="D3" t="s">
        <v>1659</v>
      </c>
      <c r="E3" s="30">
        <v>0</v>
      </c>
      <c r="F3" s="31">
        <v>0</v>
      </c>
      <c r="G3" s="31">
        <v>0</v>
      </c>
      <c r="H3" s="31">
        <v>0</v>
      </c>
      <c r="I3" s="31">
        <v>9</v>
      </c>
      <c r="J3" s="31">
        <f>SUM(F3:I3)</f>
        <v>9</v>
      </c>
      <c r="K3" s="28">
        <v>59000</v>
      </c>
      <c r="L3" s="29">
        <v>0.17</v>
      </c>
      <c r="M3" s="31">
        <f>K3*L3</f>
        <v>10030</v>
      </c>
      <c r="N3" s="28">
        <f t="shared" ref="N3:N66" si="0">K3*(1-L3)</f>
        <v>48970</v>
      </c>
    </row>
    <row r="4" spans="1:15" x14ac:dyDescent="0.35">
      <c r="A4">
        <v>741170002</v>
      </c>
      <c r="B4" t="s">
        <v>1660</v>
      </c>
      <c r="C4" t="s">
        <v>28</v>
      </c>
      <c r="D4" t="s">
        <v>1659</v>
      </c>
      <c r="E4" s="30">
        <v>0</v>
      </c>
      <c r="F4" s="31">
        <v>0</v>
      </c>
      <c r="G4" s="31">
        <v>0</v>
      </c>
      <c r="H4" s="31">
        <v>0</v>
      </c>
      <c r="I4" s="31">
        <v>20</v>
      </c>
      <c r="J4" s="31">
        <f t="shared" ref="J4:J67" si="1">SUM(F4:I4)</f>
        <v>20</v>
      </c>
      <c r="K4" s="28">
        <v>59000</v>
      </c>
      <c r="L4" s="29">
        <v>0.17</v>
      </c>
      <c r="M4" s="31">
        <f t="shared" ref="M4:M67" si="2">K4*L4</f>
        <v>10030</v>
      </c>
      <c r="N4" s="28">
        <f t="shared" si="0"/>
        <v>48970</v>
      </c>
    </row>
    <row r="5" spans="1:15" x14ac:dyDescent="0.35">
      <c r="A5">
        <v>741170003</v>
      </c>
      <c r="B5" t="s">
        <v>1661</v>
      </c>
      <c r="C5" t="s">
        <v>28</v>
      </c>
      <c r="D5" t="s">
        <v>1659</v>
      </c>
      <c r="E5" s="30">
        <v>0</v>
      </c>
      <c r="F5" s="31">
        <v>0</v>
      </c>
      <c r="G5" s="31">
        <v>0</v>
      </c>
      <c r="H5" s="31">
        <v>0</v>
      </c>
      <c r="I5" s="31">
        <v>21</v>
      </c>
      <c r="J5" s="31">
        <f t="shared" si="1"/>
        <v>21</v>
      </c>
      <c r="K5" s="28">
        <v>59000</v>
      </c>
      <c r="L5" s="29">
        <v>0.17</v>
      </c>
      <c r="M5" s="31">
        <f t="shared" si="2"/>
        <v>10030</v>
      </c>
      <c r="N5" s="28">
        <f t="shared" si="0"/>
        <v>48970</v>
      </c>
    </row>
    <row r="6" spans="1:15" x14ac:dyDescent="0.35">
      <c r="A6">
        <v>741170004</v>
      </c>
      <c r="B6" t="s">
        <v>1662</v>
      </c>
      <c r="C6" t="s">
        <v>28</v>
      </c>
      <c r="D6" t="s">
        <v>1659</v>
      </c>
      <c r="E6" s="30">
        <v>0</v>
      </c>
      <c r="F6" s="31">
        <v>0</v>
      </c>
      <c r="G6" s="31">
        <v>0</v>
      </c>
      <c r="H6" s="31">
        <v>0</v>
      </c>
      <c r="I6" s="31">
        <v>20</v>
      </c>
      <c r="J6" s="31">
        <f t="shared" si="1"/>
        <v>20</v>
      </c>
      <c r="K6" s="28">
        <v>59000</v>
      </c>
      <c r="L6" s="29">
        <v>0.17</v>
      </c>
      <c r="M6" s="31">
        <f t="shared" si="2"/>
        <v>10030</v>
      </c>
      <c r="N6" s="28">
        <f t="shared" si="0"/>
        <v>48970</v>
      </c>
    </row>
    <row r="7" spans="1:15" x14ac:dyDescent="0.35">
      <c r="A7">
        <v>740230</v>
      </c>
      <c r="B7" t="s">
        <v>504</v>
      </c>
      <c r="C7" t="s">
        <v>503</v>
      </c>
      <c r="D7" t="s">
        <v>93</v>
      </c>
      <c r="E7" s="30" t="s">
        <v>14</v>
      </c>
      <c r="F7" s="31">
        <v>0</v>
      </c>
      <c r="G7" s="31">
        <v>4</v>
      </c>
      <c r="H7" s="31">
        <v>0</v>
      </c>
      <c r="I7" s="31">
        <v>58</v>
      </c>
      <c r="J7" s="31">
        <f t="shared" si="1"/>
        <v>62</v>
      </c>
      <c r="K7" s="28">
        <v>2498000</v>
      </c>
      <c r="L7" s="29">
        <v>0.17</v>
      </c>
      <c r="M7" s="31">
        <f t="shared" si="2"/>
        <v>424660.00000000006</v>
      </c>
      <c r="N7" s="28">
        <f t="shared" si="0"/>
        <v>2073340</v>
      </c>
    </row>
    <row r="8" spans="1:15" x14ac:dyDescent="0.35">
      <c r="A8">
        <v>200005</v>
      </c>
      <c r="B8" t="s">
        <v>1663</v>
      </c>
      <c r="C8" t="s">
        <v>368</v>
      </c>
      <c r="D8" t="s">
        <v>93</v>
      </c>
      <c r="E8" s="30" t="s">
        <v>14</v>
      </c>
      <c r="F8" s="31">
        <v>0</v>
      </c>
      <c r="G8" s="31">
        <v>0</v>
      </c>
      <c r="H8" s="31">
        <v>0</v>
      </c>
      <c r="I8" s="31">
        <v>5</v>
      </c>
      <c r="J8" s="31">
        <f t="shared" si="1"/>
        <v>5</v>
      </c>
      <c r="K8" s="28">
        <v>19000</v>
      </c>
      <c r="L8" s="29">
        <v>0.45</v>
      </c>
      <c r="M8" s="31">
        <f t="shared" si="2"/>
        <v>8550</v>
      </c>
      <c r="N8" s="28">
        <f t="shared" si="0"/>
        <v>10450</v>
      </c>
    </row>
    <row r="9" spans="1:15" x14ac:dyDescent="0.35">
      <c r="A9">
        <v>737926001</v>
      </c>
      <c r="B9" t="s">
        <v>364</v>
      </c>
      <c r="C9" t="s">
        <v>365</v>
      </c>
      <c r="D9" t="s">
        <v>366</v>
      </c>
      <c r="E9" s="30" t="s">
        <v>14</v>
      </c>
      <c r="F9" s="31">
        <v>0</v>
      </c>
      <c r="G9" s="31">
        <v>1</v>
      </c>
      <c r="H9" s="31">
        <v>0</v>
      </c>
      <c r="I9" s="31">
        <v>43</v>
      </c>
      <c r="J9" s="31">
        <f t="shared" si="1"/>
        <v>44</v>
      </c>
      <c r="K9" s="28">
        <v>158000</v>
      </c>
      <c r="L9" s="29">
        <v>0.45</v>
      </c>
      <c r="M9" s="31">
        <f t="shared" si="2"/>
        <v>71100</v>
      </c>
      <c r="N9" s="28">
        <f t="shared" si="0"/>
        <v>86900</v>
      </c>
    </row>
    <row r="10" spans="1:15" x14ac:dyDescent="0.35">
      <c r="A10">
        <v>708533001</v>
      </c>
      <c r="B10" t="s">
        <v>1664</v>
      </c>
      <c r="C10" t="s">
        <v>1665</v>
      </c>
      <c r="D10" t="s">
        <v>366</v>
      </c>
      <c r="E10" s="30" t="s">
        <v>14</v>
      </c>
      <c r="F10" s="31">
        <v>0</v>
      </c>
      <c r="G10" s="31">
        <v>0</v>
      </c>
      <c r="H10" s="31">
        <v>0</v>
      </c>
      <c r="I10" s="31">
        <v>20</v>
      </c>
      <c r="J10" s="31">
        <f t="shared" si="1"/>
        <v>20</v>
      </c>
      <c r="K10" s="28">
        <v>1248000</v>
      </c>
      <c r="L10" s="29">
        <v>0.17</v>
      </c>
      <c r="M10" s="31">
        <f t="shared" si="2"/>
        <v>212160.00000000003</v>
      </c>
      <c r="N10" s="28">
        <f t="shared" si="0"/>
        <v>1035840</v>
      </c>
    </row>
    <row r="11" spans="1:15" x14ac:dyDescent="0.35">
      <c r="A11">
        <v>716398001</v>
      </c>
      <c r="B11" t="s">
        <v>1666</v>
      </c>
      <c r="C11" t="s">
        <v>1665</v>
      </c>
      <c r="D11" t="s">
        <v>366</v>
      </c>
      <c r="E11" s="30" t="s">
        <v>14</v>
      </c>
      <c r="F11" s="31">
        <v>0</v>
      </c>
      <c r="G11" s="31">
        <v>0</v>
      </c>
      <c r="H11" s="31">
        <v>0</v>
      </c>
      <c r="I11" s="31">
        <v>72</v>
      </c>
      <c r="J11" s="31">
        <f t="shared" si="1"/>
        <v>72</v>
      </c>
      <c r="K11" s="28">
        <v>348000</v>
      </c>
      <c r="L11" s="29">
        <v>0.81</v>
      </c>
      <c r="M11" s="31">
        <f t="shared" si="2"/>
        <v>281880</v>
      </c>
      <c r="N11" s="28">
        <f t="shared" si="0"/>
        <v>66119.999999999985</v>
      </c>
    </row>
    <row r="12" spans="1:15" x14ac:dyDescent="0.35">
      <c r="A12">
        <v>719878001</v>
      </c>
      <c r="B12" t="s">
        <v>1667</v>
      </c>
      <c r="C12" t="s">
        <v>1665</v>
      </c>
      <c r="D12" t="s">
        <v>366</v>
      </c>
      <c r="E12" s="30">
        <v>0</v>
      </c>
      <c r="F12" s="31">
        <v>47</v>
      </c>
      <c r="G12" s="31">
        <v>2</v>
      </c>
      <c r="H12" s="31">
        <v>1</v>
      </c>
      <c r="I12" s="31">
        <v>155</v>
      </c>
      <c r="J12" s="31">
        <f t="shared" si="1"/>
        <v>205</v>
      </c>
      <c r="K12" s="28">
        <v>728000</v>
      </c>
      <c r="L12" s="29">
        <v>0.17</v>
      </c>
      <c r="M12" s="31">
        <f t="shared" si="2"/>
        <v>123760.00000000001</v>
      </c>
      <c r="N12" s="28">
        <f t="shared" si="0"/>
        <v>604240</v>
      </c>
    </row>
    <row r="13" spans="1:15" x14ac:dyDescent="0.35">
      <c r="A13">
        <v>719967001</v>
      </c>
      <c r="B13" t="s">
        <v>1668</v>
      </c>
      <c r="C13" t="s">
        <v>1665</v>
      </c>
      <c r="D13" t="s">
        <v>366</v>
      </c>
      <c r="E13" s="30" t="s">
        <v>14</v>
      </c>
      <c r="F13" s="31">
        <v>0</v>
      </c>
      <c r="G13" s="31">
        <v>0</v>
      </c>
      <c r="H13" s="31">
        <v>2</v>
      </c>
      <c r="I13" s="31">
        <v>20</v>
      </c>
      <c r="J13" s="31">
        <f t="shared" si="1"/>
        <v>22</v>
      </c>
      <c r="K13" s="28">
        <v>398000</v>
      </c>
      <c r="L13" s="29">
        <v>0.45</v>
      </c>
      <c r="M13" s="31">
        <f t="shared" si="2"/>
        <v>179100</v>
      </c>
      <c r="N13" s="28">
        <f t="shared" si="0"/>
        <v>218900.00000000003</v>
      </c>
    </row>
    <row r="14" spans="1:15" x14ac:dyDescent="0.35">
      <c r="A14">
        <v>726191001</v>
      </c>
      <c r="B14" t="s">
        <v>1669</v>
      </c>
      <c r="C14" t="s">
        <v>1665</v>
      </c>
      <c r="D14" t="s">
        <v>366</v>
      </c>
      <c r="E14" s="30" t="s">
        <v>14</v>
      </c>
      <c r="F14" s="31">
        <v>0</v>
      </c>
      <c r="G14" s="31">
        <v>0</v>
      </c>
      <c r="H14" s="31">
        <v>0</v>
      </c>
      <c r="I14" s="31">
        <v>8</v>
      </c>
      <c r="J14" s="31">
        <f t="shared" si="1"/>
        <v>8</v>
      </c>
      <c r="K14" s="28">
        <v>978000</v>
      </c>
      <c r="L14" s="29">
        <v>0.17</v>
      </c>
      <c r="M14" s="31">
        <f t="shared" si="2"/>
        <v>166260</v>
      </c>
      <c r="N14" s="28">
        <f t="shared" si="0"/>
        <v>811740</v>
      </c>
    </row>
    <row r="15" spans="1:15" x14ac:dyDescent="0.35">
      <c r="A15">
        <v>740113001</v>
      </c>
      <c r="B15" t="s">
        <v>1670</v>
      </c>
      <c r="C15" t="s">
        <v>1665</v>
      </c>
      <c r="D15" t="s">
        <v>366</v>
      </c>
      <c r="E15" s="30" t="s">
        <v>14</v>
      </c>
      <c r="F15" s="31">
        <v>0</v>
      </c>
      <c r="G15" s="31">
        <v>2</v>
      </c>
      <c r="H15" s="31">
        <v>1</v>
      </c>
      <c r="I15" s="31">
        <v>49</v>
      </c>
      <c r="J15" s="31">
        <f t="shared" si="1"/>
        <v>52</v>
      </c>
      <c r="K15" s="28">
        <v>1198000</v>
      </c>
      <c r="L15" s="29">
        <v>0.17</v>
      </c>
      <c r="M15" s="31">
        <f t="shared" si="2"/>
        <v>203660.00000000003</v>
      </c>
      <c r="N15" s="28">
        <f t="shared" si="0"/>
        <v>994340</v>
      </c>
    </row>
    <row r="16" spans="1:15" x14ac:dyDescent="0.35">
      <c r="A16">
        <v>730770001</v>
      </c>
      <c r="B16" t="s">
        <v>557</v>
      </c>
      <c r="C16" t="s">
        <v>449</v>
      </c>
      <c r="D16" t="s">
        <v>450</v>
      </c>
      <c r="E16" s="30" t="s">
        <v>14</v>
      </c>
      <c r="F16" s="31">
        <v>0</v>
      </c>
      <c r="G16" s="31">
        <v>0</v>
      </c>
      <c r="H16" s="31">
        <v>0</v>
      </c>
      <c r="I16" s="31">
        <v>1</v>
      </c>
      <c r="J16" s="31">
        <f t="shared" si="1"/>
        <v>1</v>
      </c>
      <c r="K16" s="28">
        <v>248000</v>
      </c>
      <c r="L16" s="29">
        <v>0.81</v>
      </c>
      <c r="M16" s="31">
        <f t="shared" si="2"/>
        <v>200880</v>
      </c>
      <c r="N16" s="28">
        <f t="shared" ref="N16:N17" si="3">K16*(1-L16)</f>
        <v>47119.999999999985</v>
      </c>
      <c r="O16" s="28">
        <v>198400</v>
      </c>
    </row>
    <row r="17" spans="1:15" x14ac:dyDescent="0.35">
      <c r="A17">
        <v>732523001</v>
      </c>
      <c r="B17" t="s">
        <v>448</v>
      </c>
      <c r="C17" t="s">
        <v>449</v>
      </c>
      <c r="D17" t="s">
        <v>450</v>
      </c>
      <c r="E17" s="30" t="s">
        <v>14</v>
      </c>
      <c r="F17" s="31">
        <v>0</v>
      </c>
      <c r="G17" s="31">
        <v>0</v>
      </c>
      <c r="H17" s="31">
        <v>0</v>
      </c>
      <c r="I17" s="31">
        <v>3</v>
      </c>
      <c r="J17" s="31">
        <f t="shared" si="1"/>
        <v>3</v>
      </c>
      <c r="K17" s="28">
        <v>248000</v>
      </c>
      <c r="L17" s="29">
        <v>0.81</v>
      </c>
      <c r="M17" s="31">
        <f t="shared" si="2"/>
        <v>200880</v>
      </c>
      <c r="N17" s="28">
        <f t="shared" si="3"/>
        <v>47119.999999999985</v>
      </c>
      <c r="O17" s="28">
        <v>198400</v>
      </c>
    </row>
    <row r="18" spans="1:15" x14ac:dyDescent="0.35">
      <c r="A18">
        <v>704049002</v>
      </c>
      <c r="B18" t="s">
        <v>1671</v>
      </c>
      <c r="C18" t="s">
        <v>362</v>
      </c>
      <c r="D18" t="s">
        <v>431</v>
      </c>
      <c r="E18" s="30" t="s">
        <v>14</v>
      </c>
      <c r="F18" s="31">
        <v>0</v>
      </c>
      <c r="G18" s="31">
        <v>0</v>
      </c>
      <c r="H18" s="31">
        <v>0</v>
      </c>
      <c r="I18" s="31">
        <v>4</v>
      </c>
      <c r="J18" s="31">
        <f t="shared" si="1"/>
        <v>4</v>
      </c>
      <c r="K18" s="28">
        <v>998000</v>
      </c>
      <c r="L18" s="29">
        <v>0.17</v>
      </c>
      <c r="M18" s="31">
        <f t="shared" si="2"/>
        <v>169660</v>
      </c>
      <c r="N18" s="28">
        <f t="shared" si="0"/>
        <v>828340</v>
      </c>
    </row>
    <row r="19" spans="1:15" x14ac:dyDescent="0.35">
      <c r="A19">
        <v>704049004</v>
      </c>
      <c r="B19" t="s">
        <v>1672</v>
      </c>
      <c r="C19" t="s">
        <v>362</v>
      </c>
      <c r="D19" t="s">
        <v>431</v>
      </c>
      <c r="E19" s="30" t="s">
        <v>14</v>
      </c>
      <c r="F19" s="31">
        <v>0</v>
      </c>
      <c r="G19" s="31">
        <v>0</v>
      </c>
      <c r="H19" s="31">
        <v>0</v>
      </c>
      <c r="I19" s="31">
        <v>8</v>
      </c>
      <c r="J19" s="31">
        <f t="shared" si="1"/>
        <v>8</v>
      </c>
      <c r="K19" s="28">
        <v>998000</v>
      </c>
      <c r="L19" s="29">
        <v>0.17</v>
      </c>
      <c r="M19" s="31">
        <f t="shared" si="2"/>
        <v>169660</v>
      </c>
      <c r="N19" s="28">
        <f t="shared" si="0"/>
        <v>828340</v>
      </c>
    </row>
    <row r="20" spans="1:15" x14ac:dyDescent="0.35">
      <c r="A20">
        <v>727840001</v>
      </c>
      <c r="B20" t="s">
        <v>452</v>
      </c>
      <c r="C20" t="s">
        <v>362</v>
      </c>
      <c r="D20" t="s">
        <v>431</v>
      </c>
      <c r="E20" s="30" t="s">
        <v>14</v>
      </c>
      <c r="F20" s="31">
        <v>0</v>
      </c>
      <c r="G20" s="31">
        <v>0</v>
      </c>
      <c r="H20" s="31">
        <v>0</v>
      </c>
      <c r="I20" s="31">
        <v>1</v>
      </c>
      <c r="J20" s="31">
        <f t="shared" si="1"/>
        <v>1</v>
      </c>
      <c r="K20" s="28">
        <v>598000</v>
      </c>
      <c r="L20" s="29">
        <v>0.17</v>
      </c>
      <c r="M20" s="31">
        <f t="shared" si="2"/>
        <v>101660.00000000001</v>
      </c>
      <c r="N20" s="28">
        <f t="shared" si="0"/>
        <v>496340</v>
      </c>
    </row>
    <row r="21" spans="1:15" x14ac:dyDescent="0.35">
      <c r="A21">
        <v>739990001</v>
      </c>
      <c r="B21" t="s">
        <v>1673</v>
      </c>
      <c r="C21" t="s">
        <v>362</v>
      </c>
      <c r="D21" t="s">
        <v>431</v>
      </c>
      <c r="E21" s="30" t="s">
        <v>14</v>
      </c>
      <c r="F21" s="31">
        <v>0</v>
      </c>
      <c r="G21" s="31">
        <v>0</v>
      </c>
      <c r="H21" s="31">
        <v>0</v>
      </c>
      <c r="I21" s="31">
        <v>8</v>
      </c>
      <c r="J21" s="31">
        <f t="shared" si="1"/>
        <v>8</v>
      </c>
      <c r="K21" s="28">
        <v>998000</v>
      </c>
      <c r="L21" s="29">
        <v>0.17</v>
      </c>
      <c r="M21" s="31">
        <f t="shared" si="2"/>
        <v>169660</v>
      </c>
      <c r="N21" s="28">
        <f t="shared" si="0"/>
        <v>828340</v>
      </c>
    </row>
    <row r="22" spans="1:15" x14ac:dyDescent="0.35">
      <c r="A22">
        <v>737233002</v>
      </c>
      <c r="B22" t="s">
        <v>1674</v>
      </c>
      <c r="C22" t="s">
        <v>365</v>
      </c>
      <c r="D22" t="s">
        <v>431</v>
      </c>
      <c r="E22" s="30" t="s">
        <v>14</v>
      </c>
      <c r="F22" s="31">
        <v>0</v>
      </c>
      <c r="G22" s="31">
        <v>0</v>
      </c>
      <c r="H22" s="31">
        <v>0</v>
      </c>
      <c r="I22" s="31">
        <v>22</v>
      </c>
      <c r="J22" s="31">
        <f t="shared" si="1"/>
        <v>22</v>
      </c>
      <c r="K22" s="28">
        <v>118000</v>
      </c>
      <c r="L22" s="29">
        <v>0.81</v>
      </c>
      <c r="M22" s="31">
        <f t="shared" si="2"/>
        <v>95580</v>
      </c>
      <c r="N22" s="28">
        <f t="shared" ref="N22:N23" si="4">K22*(1-L22)</f>
        <v>22419.999999999993</v>
      </c>
    </row>
    <row r="23" spans="1:15" x14ac:dyDescent="0.35">
      <c r="A23">
        <v>737233003</v>
      </c>
      <c r="B23" t="s">
        <v>1675</v>
      </c>
      <c r="C23" t="s">
        <v>365</v>
      </c>
      <c r="D23" t="s">
        <v>431</v>
      </c>
      <c r="E23" s="30" t="s">
        <v>14</v>
      </c>
      <c r="F23" s="31">
        <v>0</v>
      </c>
      <c r="G23" s="31">
        <v>0</v>
      </c>
      <c r="H23" s="31">
        <v>0</v>
      </c>
      <c r="I23" s="31">
        <v>29</v>
      </c>
      <c r="J23" s="31">
        <f t="shared" si="1"/>
        <v>29</v>
      </c>
      <c r="K23" s="28">
        <v>118000</v>
      </c>
      <c r="L23" s="29">
        <v>0.81</v>
      </c>
      <c r="M23" s="31">
        <f t="shared" si="2"/>
        <v>95580</v>
      </c>
      <c r="N23" s="28">
        <f t="shared" si="4"/>
        <v>22419.999999999993</v>
      </c>
    </row>
    <row r="24" spans="1:15" x14ac:dyDescent="0.35">
      <c r="A24">
        <v>738210001</v>
      </c>
      <c r="B24" t="s">
        <v>1676</v>
      </c>
      <c r="C24" t="s">
        <v>365</v>
      </c>
      <c r="D24" t="s">
        <v>431</v>
      </c>
      <c r="E24" s="30" t="s">
        <v>14</v>
      </c>
      <c r="F24" s="31">
        <v>0</v>
      </c>
      <c r="G24" s="31">
        <v>0</v>
      </c>
      <c r="H24" s="31">
        <v>1</v>
      </c>
      <c r="I24" s="31">
        <v>57</v>
      </c>
      <c r="J24" s="31">
        <f t="shared" si="1"/>
        <v>58</v>
      </c>
      <c r="K24" s="28">
        <v>138000</v>
      </c>
      <c r="L24" s="29">
        <v>0.45</v>
      </c>
      <c r="M24" s="31">
        <f t="shared" si="2"/>
        <v>62100</v>
      </c>
      <c r="N24" s="28">
        <f t="shared" si="0"/>
        <v>75900</v>
      </c>
    </row>
    <row r="25" spans="1:15" x14ac:dyDescent="0.35">
      <c r="A25">
        <v>738210002</v>
      </c>
      <c r="B25" t="s">
        <v>1677</v>
      </c>
      <c r="C25" t="s">
        <v>365</v>
      </c>
      <c r="D25" t="s">
        <v>431</v>
      </c>
      <c r="E25" s="30" t="s">
        <v>14</v>
      </c>
      <c r="F25" s="31">
        <v>0</v>
      </c>
      <c r="G25" s="31">
        <v>28</v>
      </c>
      <c r="H25" s="31">
        <v>9</v>
      </c>
      <c r="I25" s="31">
        <v>64</v>
      </c>
      <c r="J25" s="31">
        <f t="shared" si="1"/>
        <v>101</v>
      </c>
      <c r="K25" s="28">
        <v>148000</v>
      </c>
      <c r="L25" s="29">
        <v>0.45</v>
      </c>
      <c r="M25" s="31">
        <f t="shared" si="2"/>
        <v>66600</v>
      </c>
      <c r="N25" s="28">
        <f t="shared" si="0"/>
        <v>81400</v>
      </c>
    </row>
    <row r="26" spans="1:15" x14ac:dyDescent="0.35">
      <c r="A26">
        <v>738210003</v>
      </c>
      <c r="B26" t="s">
        <v>1678</v>
      </c>
      <c r="C26" t="s">
        <v>365</v>
      </c>
      <c r="D26" t="s">
        <v>431</v>
      </c>
      <c r="E26" s="30" t="s">
        <v>14</v>
      </c>
      <c r="F26" s="31">
        <v>0</v>
      </c>
      <c r="G26" s="31">
        <v>0</v>
      </c>
      <c r="H26" s="31">
        <v>0</v>
      </c>
      <c r="I26" s="31">
        <v>35</v>
      </c>
      <c r="J26" s="31">
        <f t="shared" si="1"/>
        <v>35</v>
      </c>
      <c r="K26" s="28">
        <v>148000</v>
      </c>
      <c r="L26" s="29">
        <v>0.45</v>
      </c>
      <c r="M26" s="31">
        <f t="shared" si="2"/>
        <v>66600</v>
      </c>
      <c r="N26" s="28">
        <f t="shared" si="0"/>
        <v>81400</v>
      </c>
    </row>
    <row r="27" spans="1:15" x14ac:dyDescent="0.35">
      <c r="A27">
        <v>738210004</v>
      </c>
      <c r="B27" t="s">
        <v>1679</v>
      </c>
      <c r="C27" t="s">
        <v>365</v>
      </c>
      <c r="D27" t="s">
        <v>431</v>
      </c>
      <c r="E27" s="30" t="s">
        <v>14</v>
      </c>
      <c r="F27" s="31">
        <v>0</v>
      </c>
      <c r="G27" s="31">
        <v>5</v>
      </c>
      <c r="H27" s="31">
        <v>8</v>
      </c>
      <c r="I27" s="31">
        <v>86</v>
      </c>
      <c r="J27" s="31">
        <f t="shared" si="1"/>
        <v>99</v>
      </c>
      <c r="K27" s="28">
        <v>148000</v>
      </c>
      <c r="L27" s="29">
        <v>0.45</v>
      </c>
      <c r="M27" s="31">
        <f t="shared" si="2"/>
        <v>66600</v>
      </c>
      <c r="N27" s="28">
        <f t="shared" si="0"/>
        <v>81400</v>
      </c>
    </row>
    <row r="28" spans="1:15" x14ac:dyDescent="0.35">
      <c r="A28">
        <v>741030002</v>
      </c>
      <c r="B28" t="s">
        <v>1680</v>
      </c>
      <c r="C28" t="s">
        <v>365</v>
      </c>
      <c r="D28" t="s">
        <v>431</v>
      </c>
      <c r="E28" s="30" t="s">
        <v>14</v>
      </c>
      <c r="F28" s="31">
        <v>0</v>
      </c>
      <c r="G28" s="31">
        <v>0</v>
      </c>
      <c r="H28" s="31">
        <v>0</v>
      </c>
      <c r="I28" s="31">
        <v>83</v>
      </c>
      <c r="J28" s="31">
        <f t="shared" si="1"/>
        <v>83</v>
      </c>
      <c r="K28" s="28">
        <v>228000</v>
      </c>
      <c r="L28" s="29">
        <v>0.45</v>
      </c>
      <c r="M28" s="31">
        <f t="shared" si="2"/>
        <v>102600</v>
      </c>
      <c r="N28" s="28">
        <f t="shared" si="0"/>
        <v>125400.00000000001</v>
      </c>
    </row>
    <row r="29" spans="1:15" x14ac:dyDescent="0.35">
      <c r="A29">
        <v>741030003</v>
      </c>
      <c r="B29" t="s">
        <v>1681</v>
      </c>
      <c r="C29" t="s">
        <v>365</v>
      </c>
      <c r="D29" t="s">
        <v>431</v>
      </c>
      <c r="E29" s="30" t="s">
        <v>14</v>
      </c>
      <c r="F29" s="31">
        <v>0</v>
      </c>
      <c r="G29" s="31">
        <v>0</v>
      </c>
      <c r="H29" s="31">
        <v>0</v>
      </c>
      <c r="I29" s="31">
        <v>54</v>
      </c>
      <c r="J29" s="31">
        <f t="shared" si="1"/>
        <v>54</v>
      </c>
      <c r="K29" s="28">
        <v>228000</v>
      </c>
      <c r="L29" s="29">
        <v>0.45</v>
      </c>
      <c r="M29" s="31">
        <f t="shared" si="2"/>
        <v>102600</v>
      </c>
      <c r="N29" s="28">
        <f t="shared" si="0"/>
        <v>125400.00000000001</v>
      </c>
    </row>
    <row r="30" spans="1:15" x14ac:dyDescent="0.35">
      <c r="A30">
        <v>741030004</v>
      </c>
      <c r="B30" t="s">
        <v>1682</v>
      </c>
      <c r="C30" t="s">
        <v>365</v>
      </c>
      <c r="D30" t="s">
        <v>431</v>
      </c>
      <c r="E30" s="30" t="s">
        <v>14</v>
      </c>
      <c r="F30" s="31">
        <v>0</v>
      </c>
      <c r="G30" s="31">
        <v>0</v>
      </c>
      <c r="H30" s="31">
        <v>3</v>
      </c>
      <c r="I30" s="31">
        <v>112</v>
      </c>
      <c r="J30" s="31">
        <f t="shared" si="1"/>
        <v>115</v>
      </c>
      <c r="K30" s="28">
        <v>228000</v>
      </c>
      <c r="L30" s="29">
        <v>0.45</v>
      </c>
      <c r="M30" s="31">
        <f t="shared" si="2"/>
        <v>102600</v>
      </c>
      <c r="N30" s="28">
        <f t="shared" si="0"/>
        <v>125400.00000000001</v>
      </c>
    </row>
    <row r="31" spans="1:15" x14ac:dyDescent="0.35">
      <c r="A31">
        <v>741030005</v>
      </c>
      <c r="B31" t="s">
        <v>1683</v>
      </c>
      <c r="C31" t="s">
        <v>365</v>
      </c>
      <c r="D31" t="s">
        <v>431</v>
      </c>
      <c r="E31" s="30" t="s">
        <v>14</v>
      </c>
      <c r="F31" s="31">
        <v>0</v>
      </c>
      <c r="G31" s="31">
        <v>1</v>
      </c>
      <c r="H31" s="31">
        <v>5</v>
      </c>
      <c r="I31" s="31">
        <v>129</v>
      </c>
      <c r="J31" s="31">
        <f t="shared" si="1"/>
        <v>135</v>
      </c>
      <c r="K31" s="28">
        <v>228000</v>
      </c>
      <c r="L31" s="29">
        <v>0.45</v>
      </c>
      <c r="M31" s="31">
        <f t="shared" si="2"/>
        <v>102600</v>
      </c>
      <c r="N31" s="28">
        <f t="shared" si="0"/>
        <v>125400.00000000001</v>
      </c>
    </row>
    <row r="32" spans="1:15" x14ac:dyDescent="0.35">
      <c r="A32">
        <v>732787001</v>
      </c>
      <c r="B32" t="s">
        <v>558</v>
      </c>
      <c r="C32" t="s">
        <v>426</v>
      </c>
      <c r="D32" t="s">
        <v>431</v>
      </c>
      <c r="E32" s="30" t="s">
        <v>14</v>
      </c>
      <c r="F32" s="31">
        <v>0</v>
      </c>
      <c r="G32" s="31">
        <v>0</v>
      </c>
      <c r="H32" s="31">
        <v>0</v>
      </c>
      <c r="I32" s="31">
        <v>20</v>
      </c>
      <c r="J32" s="31">
        <f t="shared" si="1"/>
        <v>20</v>
      </c>
      <c r="K32" s="28">
        <v>148000</v>
      </c>
      <c r="L32" s="29">
        <v>0.81</v>
      </c>
      <c r="M32" s="31">
        <f t="shared" si="2"/>
        <v>119880.00000000001</v>
      </c>
      <c r="N32" s="28">
        <f t="shared" ref="N32" si="5">K32*(1-L32)</f>
        <v>28119.999999999993</v>
      </c>
      <c r="O32" s="28">
        <v>74000</v>
      </c>
    </row>
    <row r="33" spans="1:15" x14ac:dyDescent="0.35">
      <c r="A33">
        <v>716432004</v>
      </c>
      <c r="B33" t="s">
        <v>1684</v>
      </c>
      <c r="C33" t="s">
        <v>449</v>
      </c>
      <c r="D33" t="s">
        <v>431</v>
      </c>
      <c r="E33" s="30" t="s">
        <v>14</v>
      </c>
      <c r="F33" s="31">
        <v>0</v>
      </c>
      <c r="G33" s="31">
        <v>0</v>
      </c>
      <c r="H33" s="31">
        <v>0</v>
      </c>
      <c r="I33" s="31">
        <v>57</v>
      </c>
      <c r="J33" s="31">
        <f t="shared" si="1"/>
        <v>57</v>
      </c>
      <c r="K33" s="28">
        <v>228000</v>
      </c>
      <c r="L33" s="29">
        <v>0.45</v>
      </c>
      <c r="M33" s="31">
        <f t="shared" si="2"/>
        <v>102600</v>
      </c>
      <c r="N33" s="28">
        <f t="shared" si="0"/>
        <v>125400.00000000001</v>
      </c>
    </row>
    <row r="34" spans="1:15" x14ac:dyDescent="0.35">
      <c r="A34">
        <v>727150001</v>
      </c>
      <c r="B34" t="s">
        <v>451</v>
      </c>
      <c r="C34" t="s">
        <v>449</v>
      </c>
      <c r="D34" t="s">
        <v>431</v>
      </c>
      <c r="E34" s="30" t="s">
        <v>14</v>
      </c>
      <c r="F34" s="31">
        <v>0</v>
      </c>
      <c r="G34" s="31">
        <v>0</v>
      </c>
      <c r="H34" s="31">
        <v>0</v>
      </c>
      <c r="I34" s="31">
        <v>1</v>
      </c>
      <c r="J34" s="31">
        <f t="shared" si="1"/>
        <v>1</v>
      </c>
      <c r="K34" s="28">
        <v>448000</v>
      </c>
      <c r="L34" s="29">
        <v>0.45</v>
      </c>
      <c r="M34" s="31">
        <f t="shared" si="2"/>
        <v>201600</v>
      </c>
      <c r="N34" s="28">
        <f t="shared" si="0"/>
        <v>246400.00000000003</v>
      </c>
      <c r="O34" s="28">
        <v>358400</v>
      </c>
    </row>
    <row r="35" spans="1:15" x14ac:dyDescent="0.35">
      <c r="A35">
        <v>735275002</v>
      </c>
      <c r="B35" t="s">
        <v>560</v>
      </c>
      <c r="C35" t="s">
        <v>449</v>
      </c>
      <c r="D35" t="s">
        <v>431</v>
      </c>
      <c r="E35" s="30" t="s">
        <v>14</v>
      </c>
      <c r="F35" s="31">
        <v>0</v>
      </c>
      <c r="G35" s="31">
        <v>0</v>
      </c>
      <c r="H35" s="31">
        <v>0</v>
      </c>
      <c r="I35" s="31">
        <v>37</v>
      </c>
      <c r="J35" s="31">
        <f t="shared" si="1"/>
        <v>37</v>
      </c>
      <c r="K35" s="28">
        <v>278000</v>
      </c>
      <c r="L35" s="29">
        <v>0.45</v>
      </c>
      <c r="M35" s="31">
        <f t="shared" si="2"/>
        <v>125100</v>
      </c>
      <c r="N35" s="28">
        <f t="shared" si="0"/>
        <v>152900</v>
      </c>
      <c r="O35" s="28">
        <v>222400</v>
      </c>
    </row>
    <row r="36" spans="1:15" x14ac:dyDescent="0.35">
      <c r="A36">
        <v>735275003</v>
      </c>
      <c r="B36" t="s">
        <v>561</v>
      </c>
      <c r="C36" t="s">
        <v>449</v>
      </c>
      <c r="D36" t="s">
        <v>431</v>
      </c>
      <c r="E36" s="30" t="s">
        <v>14</v>
      </c>
      <c r="F36" s="31">
        <v>0</v>
      </c>
      <c r="G36" s="31">
        <v>0</v>
      </c>
      <c r="H36" s="31">
        <v>0</v>
      </c>
      <c r="I36" s="31">
        <v>21</v>
      </c>
      <c r="J36" s="31">
        <f t="shared" si="1"/>
        <v>21</v>
      </c>
      <c r="K36" s="28">
        <v>278000</v>
      </c>
      <c r="L36" s="29">
        <v>0.45</v>
      </c>
      <c r="M36" s="31">
        <f t="shared" si="2"/>
        <v>125100</v>
      </c>
      <c r="N36" s="28">
        <f t="shared" si="0"/>
        <v>152900</v>
      </c>
      <c r="O36" s="28">
        <v>222400</v>
      </c>
    </row>
    <row r="37" spans="1:15" x14ac:dyDescent="0.35">
      <c r="A37">
        <v>735847003</v>
      </c>
      <c r="B37" t="s">
        <v>1685</v>
      </c>
      <c r="C37" t="s">
        <v>449</v>
      </c>
      <c r="D37" t="s">
        <v>431</v>
      </c>
      <c r="E37" s="30" t="s">
        <v>14</v>
      </c>
      <c r="F37" s="31">
        <v>0</v>
      </c>
      <c r="G37" s="31">
        <v>0</v>
      </c>
      <c r="H37" s="31">
        <v>0</v>
      </c>
      <c r="I37" s="31">
        <v>17</v>
      </c>
      <c r="J37" s="31">
        <f t="shared" si="1"/>
        <v>17</v>
      </c>
      <c r="K37" s="28">
        <v>178000</v>
      </c>
      <c r="L37" s="29">
        <v>0.45</v>
      </c>
      <c r="M37" s="31">
        <f t="shared" si="2"/>
        <v>80100</v>
      </c>
      <c r="N37" s="28">
        <f t="shared" si="0"/>
        <v>97900.000000000015</v>
      </c>
    </row>
    <row r="38" spans="1:15" x14ac:dyDescent="0.35">
      <c r="A38">
        <v>735848001</v>
      </c>
      <c r="B38" t="s">
        <v>453</v>
      </c>
      <c r="C38" t="s">
        <v>449</v>
      </c>
      <c r="D38" t="s">
        <v>431</v>
      </c>
      <c r="E38" s="30" t="s">
        <v>14</v>
      </c>
      <c r="F38" s="31">
        <v>0</v>
      </c>
      <c r="G38" s="31">
        <v>1</v>
      </c>
      <c r="H38" s="31">
        <v>0</v>
      </c>
      <c r="I38" s="31">
        <v>9</v>
      </c>
      <c r="J38" s="31">
        <f t="shared" si="1"/>
        <v>10</v>
      </c>
      <c r="K38" s="28">
        <v>498000</v>
      </c>
      <c r="L38" s="29">
        <v>0.45</v>
      </c>
      <c r="M38" s="31">
        <f t="shared" si="2"/>
        <v>224100</v>
      </c>
      <c r="N38" s="28">
        <f t="shared" si="0"/>
        <v>273900</v>
      </c>
      <c r="O38" s="28">
        <v>398400</v>
      </c>
    </row>
    <row r="39" spans="1:15" x14ac:dyDescent="0.35">
      <c r="A39">
        <v>735848002</v>
      </c>
      <c r="B39" t="s">
        <v>454</v>
      </c>
      <c r="C39" t="s">
        <v>449</v>
      </c>
      <c r="D39" t="s">
        <v>431</v>
      </c>
      <c r="E39" s="30" t="s">
        <v>14</v>
      </c>
      <c r="F39" s="31">
        <v>0</v>
      </c>
      <c r="G39" s="31">
        <v>1</v>
      </c>
      <c r="H39" s="31">
        <v>5</v>
      </c>
      <c r="I39" s="31">
        <v>66</v>
      </c>
      <c r="J39" s="31">
        <f t="shared" si="1"/>
        <v>72</v>
      </c>
      <c r="K39" s="28">
        <v>498000</v>
      </c>
      <c r="L39" s="29">
        <v>0.45</v>
      </c>
      <c r="M39" s="31">
        <f t="shared" si="2"/>
        <v>224100</v>
      </c>
      <c r="N39" s="28">
        <f t="shared" si="0"/>
        <v>273900</v>
      </c>
      <c r="O39" s="28">
        <v>398400</v>
      </c>
    </row>
    <row r="40" spans="1:15" x14ac:dyDescent="0.35">
      <c r="A40">
        <v>200362001</v>
      </c>
      <c r="B40" t="s">
        <v>562</v>
      </c>
      <c r="C40" t="s">
        <v>368</v>
      </c>
      <c r="D40" t="s">
        <v>563</v>
      </c>
      <c r="E40" s="30" t="s">
        <v>14</v>
      </c>
      <c r="F40" s="31">
        <v>0</v>
      </c>
      <c r="G40" s="31">
        <v>0</v>
      </c>
      <c r="H40" s="31">
        <v>0</v>
      </c>
      <c r="I40" s="31">
        <v>7</v>
      </c>
      <c r="J40" s="31">
        <f t="shared" si="1"/>
        <v>7</v>
      </c>
      <c r="K40" s="28">
        <v>105000</v>
      </c>
      <c r="L40" s="29">
        <v>0.81</v>
      </c>
      <c r="M40" s="31">
        <f t="shared" si="2"/>
        <v>85050</v>
      </c>
      <c r="N40" s="28">
        <f t="shared" ref="N40" si="6">K40*(1-L40)</f>
        <v>19949.999999999993</v>
      </c>
      <c r="O40" s="28">
        <v>85000</v>
      </c>
    </row>
    <row r="41" spans="1:15" x14ac:dyDescent="0.35">
      <c r="A41">
        <v>740445001</v>
      </c>
      <c r="B41" t="s">
        <v>1686</v>
      </c>
      <c r="C41" t="s">
        <v>1665</v>
      </c>
      <c r="D41" t="s">
        <v>563</v>
      </c>
      <c r="E41" s="30" t="s">
        <v>14</v>
      </c>
      <c r="F41" s="31">
        <v>0</v>
      </c>
      <c r="G41" s="31">
        <v>0</v>
      </c>
      <c r="H41" s="31">
        <v>0</v>
      </c>
      <c r="I41" s="31">
        <v>5</v>
      </c>
      <c r="J41" s="31">
        <f t="shared" si="1"/>
        <v>5</v>
      </c>
      <c r="K41" s="28">
        <v>998000</v>
      </c>
      <c r="L41" s="29">
        <v>0.45</v>
      </c>
      <c r="M41" s="31">
        <f t="shared" si="2"/>
        <v>449100</v>
      </c>
      <c r="N41" s="28">
        <f t="shared" si="0"/>
        <v>548900</v>
      </c>
    </row>
    <row r="42" spans="1:15" x14ac:dyDescent="0.35">
      <c r="A42">
        <v>500365002</v>
      </c>
      <c r="B42" t="s">
        <v>370</v>
      </c>
      <c r="C42" t="s">
        <v>371</v>
      </c>
      <c r="D42" t="s">
        <v>372</v>
      </c>
      <c r="E42" s="30" t="s">
        <v>14</v>
      </c>
      <c r="F42" s="31">
        <v>610</v>
      </c>
      <c r="G42" s="31">
        <v>76</v>
      </c>
      <c r="H42" s="31">
        <v>7</v>
      </c>
      <c r="I42" s="31">
        <v>185</v>
      </c>
      <c r="J42" s="31">
        <f t="shared" si="1"/>
        <v>878</v>
      </c>
      <c r="K42" s="28">
        <v>74000</v>
      </c>
      <c r="L42" s="29">
        <v>0.45</v>
      </c>
      <c r="M42" s="31">
        <f t="shared" si="2"/>
        <v>33300</v>
      </c>
      <c r="N42" s="28">
        <f t="shared" si="0"/>
        <v>40700</v>
      </c>
    </row>
    <row r="43" spans="1:15" x14ac:dyDescent="0.35">
      <c r="A43">
        <v>500365003</v>
      </c>
      <c r="B43" t="s">
        <v>373</v>
      </c>
      <c r="C43" t="s">
        <v>371</v>
      </c>
      <c r="D43" t="s">
        <v>372</v>
      </c>
      <c r="E43" s="30" t="s">
        <v>14</v>
      </c>
      <c r="F43" s="31">
        <v>0</v>
      </c>
      <c r="G43" s="31">
        <v>0</v>
      </c>
      <c r="H43" s="31">
        <v>0</v>
      </c>
      <c r="I43" s="31">
        <v>40</v>
      </c>
      <c r="J43" s="31">
        <f t="shared" si="1"/>
        <v>40</v>
      </c>
      <c r="K43" s="28">
        <v>74000</v>
      </c>
      <c r="L43" s="29">
        <v>0.45</v>
      </c>
      <c r="M43" s="31">
        <f t="shared" si="2"/>
        <v>33300</v>
      </c>
      <c r="N43" s="28">
        <f t="shared" si="0"/>
        <v>40700</v>
      </c>
    </row>
    <row r="44" spans="1:15" x14ac:dyDescent="0.35">
      <c r="A44">
        <v>500365004</v>
      </c>
      <c r="B44" t="s">
        <v>374</v>
      </c>
      <c r="C44" t="s">
        <v>371</v>
      </c>
      <c r="D44" t="s">
        <v>372</v>
      </c>
      <c r="E44" s="30" t="s">
        <v>14</v>
      </c>
      <c r="F44" s="31">
        <v>270</v>
      </c>
      <c r="G44" s="31">
        <v>0</v>
      </c>
      <c r="H44" s="31">
        <v>0</v>
      </c>
      <c r="I44" s="31">
        <v>21</v>
      </c>
      <c r="J44" s="31">
        <f t="shared" si="1"/>
        <v>291</v>
      </c>
      <c r="K44" s="28">
        <v>74000</v>
      </c>
      <c r="L44" s="29">
        <v>0.45</v>
      </c>
      <c r="M44" s="31">
        <f t="shared" si="2"/>
        <v>33300</v>
      </c>
      <c r="N44" s="28">
        <f t="shared" si="0"/>
        <v>40700</v>
      </c>
    </row>
    <row r="45" spans="1:15" x14ac:dyDescent="0.35">
      <c r="A45">
        <v>500365005</v>
      </c>
      <c r="B45" t="s">
        <v>375</v>
      </c>
      <c r="C45" t="s">
        <v>371</v>
      </c>
      <c r="D45" t="s">
        <v>372</v>
      </c>
      <c r="E45" s="30" t="s">
        <v>14</v>
      </c>
      <c r="F45" s="31">
        <v>8905</v>
      </c>
      <c r="G45" s="31">
        <v>9</v>
      </c>
      <c r="H45" s="31">
        <v>0</v>
      </c>
      <c r="I45" s="31">
        <v>59</v>
      </c>
      <c r="J45" s="31">
        <f t="shared" si="1"/>
        <v>8973</v>
      </c>
      <c r="K45" s="28">
        <v>74000</v>
      </c>
      <c r="L45" s="29">
        <v>0.45</v>
      </c>
      <c r="M45" s="31">
        <f t="shared" si="2"/>
        <v>33300</v>
      </c>
      <c r="N45" s="28">
        <f t="shared" si="0"/>
        <v>40700</v>
      </c>
    </row>
    <row r="46" spans="1:15" x14ac:dyDescent="0.35">
      <c r="A46">
        <v>500365006</v>
      </c>
      <c r="B46" t="s">
        <v>376</v>
      </c>
      <c r="C46" t="s">
        <v>371</v>
      </c>
      <c r="D46" t="s">
        <v>372</v>
      </c>
      <c r="E46" s="30" t="s">
        <v>14</v>
      </c>
      <c r="F46" s="31">
        <v>0</v>
      </c>
      <c r="G46" s="31">
        <v>0</v>
      </c>
      <c r="H46" s="31">
        <v>0</v>
      </c>
      <c r="I46" s="31">
        <v>16</v>
      </c>
      <c r="J46" s="31">
        <f t="shared" si="1"/>
        <v>16</v>
      </c>
      <c r="K46" s="28">
        <v>74000</v>
      </c>
      <c r="L46" s="29">
        <v>0.45</v>
      </c>
      <c r="M46" s="31">
        <f t="shared" si="2"/>
        <v>33300</v>
      </c>
      <c r="N46" s="28">
        <f t="shared" si="0"/>
        <v>40700</v>
      </c>
    </row>
    <row r="47" spans="1:15" x14ac:dyDescent="0.35">
      <c r="A47">
        <v>500365007</v>
      </c>
      <c r="B47" t="s">
        <v>377</v>
      </c>
      <c r="C47" t="s">
        <v>371</v>
      </c>
      <c r="D47" t="s">
        <v>372</v>
      </c>
      <c r="E47" s="30" t="s">
        <v>14</v>
      </c>
      <c r="F47" s="31">
        <v>665</v>
      </c>
      <c r="G47" s="31">
        <v>0</v>
      </c>
      <c r="H47" s="31">
        <v>0</v>
      </c>
      <c r="I47" s="31">
        <v>170</v>
      </c>
      <c r="J47" s="31">
        <f t="shared" si="1"/>
        <v>835</v>
      </c>
      <c r="K47" s="28">
        <v>74000</v>
      </c>
      <c r="L47" s="29">
        <v>0.45</v>
      </c>
      <c r="M47" s="31">
        <f t="shared" si="2"/>
        <v>33300</v>
      </c>
      <c r="N47" s="28">
        <f t="shared" si="0"/>
        <v>40700</v>
      </c>
    </row>
    <row r="48" spans="1:15" x14ac:dyDescent="0.35">
      <c r="A48">
        <v>500365008</v>
      </c>
      <c r="B48" t="s">
        <v>378</v>
      </c>
      <c r="C48" t="s">
        <v>371</v>
      </c>
      <c r="D48" t="s">
        <v>372</v>
      </c>
      <c r="E48" s="30" t="s">
        <v>14</v>
      </c>
      <c r="F48" s="31">
        <v>690</v>
      </c>
      <c r="G48" s="31">
        <v>50</v>
      </c>
      <c r="H48" s="31">
        <v>14</v>
      </c>
      <c r="I48" s="31">
        <v>194</v>
      </c>
      <c r="J48" s="31">
        <f t="shared" si="1"/>
        <v>948</v>
      </c>
      <c r="K48" s="28">
        <v>74000</v>
      </c>
      <c r="L48" s="29">
        <v>0.45</v>
      </c>
      <c r="M48" s="31">
        <f t="shared" si="2"/>
        <v>33300</v>
      </c>
      <c r="N48" s="28">
        <f t="shared" si="0"/>
        <v>40700</v>
      </c>
    </row>
    <row r="49" spans="1:15" x14ac:dyDescent="0.35">
      <c r="A49">
        <v>500366001</v>
      </c>
      <c r="B49" t="s">
        <v>379</v>
      </c>
      <c r="C49" t="s">
        <v>371</v>
      </c>
      <c r="D49" t="s">
        <v>372</v>
      </c>
      <c r="E49" s="30" t="s">
        <v>14</v>
      </c>
      <c r="F49" s="31">
        <v>0</v>
      </c>
      <c r="G49" s="31">
        <v>0</v>
      </c>
      <c r="H49" s="31">
        <v>0</v>
      </c>
      <c r="I49" s="31">
        <v>38</v>
      </c>
      <c r="J49" s="31">
        <f t="shared" si="1"/>
        <v>38</v>
      </c>
      <c r="K49" s="28">
        <v>49000</v>
      </c>
      <c r="L49" s="29">
        <v>0.45</v>
      </c>
      <c r="M49" s="31">
        <f t="shared" si="2"/>
        <v>22050</v>
      </c>
      <c r="N49" s="28">
        <f t="shared" si="0"/>
        <v>26950.000000000004</v>
      </c>
    </row>
    <row r="50" spans="1:15" x14ac:dyDescent="0.35">
      <c r="A50">
        <v>500368001</v>
      </c>
      <c r="B50" t="s">
        <v>1687</v>
      </c>
      <c r="C50" t="s">
        <v>368</v>
      </c>
      <c r="D50" t="s">
        <v>372</v>
      </c>
      <c r="E50" s="30" t="s">
        <v>14</v>
      </c>
      <c r="F50" s="31">
        <v>0</v>
      </c>
      <c r="G50" s="31">
        <v>0</v>
      </c>
      <c r="H50" s="31">
        <v>0</v>
      </c>
      <c r="I50" s="31">
        <v>2</v>
      </c>
      <c r="J50" s="31">
        <f t="shared" si="1"/>
        <v>2</v>
      </c>
      <c r="K50" s="28">
        <v>14000</v>
      </c>
      <c r="L50" s="29">
        <v>0.45</v>
      </c>
      <c r="M50" s="31">
        <f t="shared" si="2"/>
        <v>6300</v>
      </c>
      <c r="N50" s="28">
        <f t="shared" si="0"/>
        <v>7700.0000000000009</v>
      </c>
    </row>
    <row r="51" spans="1:15" x14ac:dyDescent="0.35">
      <c r="A51">
        <v>736829001</v>
      </c>
      <c r="B51" t="s">
        <v>1688</v>
      </c>
      <c r="C51" t="s">
        <v>368</v>
      </c>
      <c r="D51" t="s">
        <v>372</v>
      </c>
      <c r="E51" s="30" t="s">
        <v>14</v>
      </c>
      <c r="F51" s="31">
        <v>0</v>
      </c>
      <c r="G51" s="31">
        <v>0</v>
      </c>
      <c r="H51" s="31">
        <v>0</v>
      </c>
      <c r="I51" s="31">
        <v>2</v>
      </c>
      <c r="J51" s="31">
        <f t="shared" si="1"/>
        <v>2</v>
      </c>
      <c r="K51" s="28">
        <v>79000</v>
      </c>
      <c r="L51" s="29">
        <v>0.45</v>
      </c>
      <c r="M51" s="31">
        <f t="shared" si="2"/>
        <v>35550</v>
      </c>
      <c r="N51" s="28">
        <f t="shared" si="0"/>
        <v>43450</v>
      </c>
    </row>
    <row r="52" spans="1:15" x14ac:dyDescent="0.35">
      <c r="A52">
        <v>740456001</v>
      </c>
      <c r="B52" t="s">
        <v>1689</v>
      </c>
      <c r="C52" t="s">
        <v>368</v>
      </c>
      <c r="D52" t="s">
        <v>1690</v>
      </c>
      <c r="E52" s="30" t="s">
        <v>14</v>
      </c>
      <c r="F52" s="31">
        <v>0</v>
      </c>
      <c r="G52" s="31">
        <v>0</v>
      </c>
      <c r="H52" s="31">
        <v>0</v>
      </c>
      <c r="I52" s="31">
        <v>6</v>
      </c>
      <c r="J52" s="31">
        <f t="shared" si="1"/>
        <v>6</v>
      </c>
      <c r="K52" s="28">
        <v>168000</v>
      </c>
      <c r="L52" s="29">
        <v>0.81</v>
      </c>
      <c r="M52" s="31">
        <f t="shared" si="2"/>
        <v>136080</v>
      </c>
      <c r="N52" s="28">
        <f t="shared" ref="N52:N77" si="7">K52*(1-L52)</f>
        <v>31919.999999999993</v>
      </c>
    </row>
    <row r="53" spans="1:15" x14ac:dyDescent="0.35">
      <c r="A53">
        <v>740457001</v>
      </c>
      <c r="B53" t="s">
        <v>1691</v>
      </c>
      <c r="C53" t="s">
        <v>368</v>
      </c>
      <c r="D53" t="s">
        <v>1690</v>
      </c>
      <c r="E53" s="30" t="s">
        <v>14</v>
      </c>
      <c r="F53" s="31">
        <v>0</v>
      </c>
      <c r="G53" s="31">
        <v>0</v>
      </c>
      <c r="H53" s="31">
        <v>0</v>
      </c>
      <c r="I53" s="31">
        <v>6</v>
      </c>
      <c r="J53" s="31">
        <f t="shared" si="1"/>
        <v>6</v>
      </c>
      <c r="K53" s="28">
        <v>168000</v>
      </c>
      <c r="L53" s="29">
        <v>0.81</v>
      </c>
      <c r="M53" s="31">
        <f t="shared" si="2"/>
        <v>136080</v>
      </c>
      <c r="N53" s="28">
        <f t="shared" si="7"/>
        <v>31919.999999999993</v>
      </c>
    </row>
    <row r="54" spans="1:15" x14ac:dyDescent="0.35">
      <c r="A54">
        <v>740458001</v>
      </c>
      <c r="B54" t="s">
        <v>1692</v>
      </c>
      <c r="C54" t="s">
        <v>368</v>
      </c>
      <c r="D54" t="s">
        <v>1690</v>
      </c>
      <c r="E54" s="30" t="s">
        <v>14</v>
      </c>
      <c r="F54" s="31">
        <v>0</v>
      </c>
      <c r="G54" s="31">
        <v>0</v>
      </c>
      <c r="H54" s="31">
        <v>0</v>
      </c>
      <c r="I54" s="31">
        <v>34</v>
      </c>
      <c r="J54" s="31">
        <f t="shared" si="1"/>
        <v>34</v>
      </c>
      <c r="K54" s="28">
        <v>168000</v>
      </c>
      <c r="L54" s="29">
        <v>0.81</v>
      </c>
      <c r="M54" s="31">
        <f t="shared" si="2"/>
        <v>136080</v>
      </c>
      <c r="N54" s="28">
        <f t="shared" si="7"/>
        <v>31919.999999999993</v>
      </c>
    </row>
    <row r="55" spans="1:15" x14ac:dyDescent="0.35">
      <c r="A55">
        <v>740459001</v>
      </c>
      <c r="B55" t="s">
        <v>1693</v>
      </c>
      <c r="C55" t="s">
        <v>368</v>
      </c>
      <c r="D55" t="s">
        <v>1690</v>
      </c>
      <c r="E55" s="30" t="s">
        <v>14</v>
      </c>
      <c r="F55" s="31">
        <v>0</v>
      </c>
      <c r="G55" s="31">
        <v>0</v>
      </c>
      <c r="H55" s="31">
        <v>0</v>
      </c>
      <c r="I55" s="31">
        <v>9</v>
      </c>
      <c r="J55" s="31">
        <f t="shared" si="1"/>
        <v>9</v>
      </c>
      <c r="K55" s="28">
        <v>168000</v>
      </c>
      <c r="L55" s="29">
        <v>0.81</v>
      </c>
      <c r="M55" s="31">
        <f t="shared" si="2"/>
        <v>136080</v>
      </c>
      <c r="N55" s="28">
        <f t="shared" si="7"/>
        <v>31919.999999999993</v>
      </c>
    </row>
    <row r="56" spans="1:15" x14ac:dyDescent="0.35">
      <c r="A56">
        <v>739328001</v>
      </c>
      <c r="B56" t="s">
        <v>1694</v>
      </c>
      <c r="C56" t="s">
        <v>89</v>
      </c>
      <c r="D56" t="s">
        <v>1690</v>
      </c>
      <c r="E56" s="30" t="s">
        <v>14</v>
      </c>
      <c r="F56" s="31">
        <v>0</v>
      </c>
      <c r="G56" s="31">
        <v>0</v>
      </c>
      <c r="H56" s="31">
        <v>0</v>
      </c>
      <c r="I56" s="31">
        <v>7</v>
      </c>
      <c r="J56" s="31">
        <f t="shared" si="1"/>
        <v>7</v>
      </c>
      <c r="K56" s="28">
        <v>168000</v>
      </c>
      <c r="L56" s="29">
        <v>0.81</v>
      </c>
      <c r="M56" s="31">
        <f t="shared" si="2"/>
        <v>136080</v>
      </c>
      <c r="N56" s="28">
        <f t="shared" si="7"/>
        <v>31919.999999999993</v>
      </c>
    </row>
    <row r="57" spans="1:15" x14ac:dyDescent="0.35">
      <c r="A57">
        <v>739329001</v>
      </c>
      <c r="B57" t="s">
        <v>1695</v>
      </c>
      <c r="C57" t="s">
        <v>89</v>
      </c>
      <c r="D57" t="s">
        <v>1690</v>
      </c>
      <c r="E57" s="30" t="s">
        <v>14</v>
      </c>
      <c r="F57" s="31">
        <v>0</v>
      </c>
      <c r="G57" s="31">
        <v>0</v>
      </c>
      <c r="H57" s="31">
        <v>0</v>
      </c>
      <c r="I57" s="31">
        <v>8</v>
      </c>
      <c r="J57" s="31">
        <f t="shared" si="1"/>
        <v>8</v>
      </c>
      <c r="K57" s="28">
        <v>168000</v>
      </c>
      <c r="L57" s="29">
        <v>0.81</v>
      </c>
      <c r="M57" s="31">
        <f t="shared" si="2"/>
        <v>136080</v>
      </c>
      <c r="N57" s="28">
        <f t="shared" si="7"/>
        <v>31919.999999999993</v>
      </c>
    </row>
    <row r="58" spans="1:15" x14ac:dyDescent="0.35">
      <c r="A58">
        <v>739330001</v>
      </c>
      <c r="B58" t="s">
        <v>1696</v>
      </c>
      <c r="C58" t="s">
        <v>89</v>
      </c>
      <c r="D58" t="s">
        <v>1690</v>
      </c>
      <c r="E58" s="30" t="s">
        <v>14</v>
      </c>
      <c r="F58" s="31">
        <v>0</v>
      </c>
      <c r="G58" s="31">
        <v>0</v>
      </c>
      <c r="H58" s="31">
        <v>0</v>
      </c>
      <c r="I58" s="31">
        <v>7</v>
      </c>
      <c r="J58" s="31">
        <f t="shared" si="1"/>
        <v>7</v>
      </c>
      <c r="K58" s="28">
        <v>168000</v>
      </c>
      <c r="L58" s="29">
        <v>0.81</v>
      </c>
      <c r="M58" s="31">
        <f t="shared" si="2"/>
        <v>136080</v>
      </c>
      <c r="N58" s="28">
        <f t="shared" si="7"/>
        <v>31919.999999999993</v>
      </c>
    </row>
    <row r="59" spans="1:15" x14ac:dyDescent="0.35">
      <c r="A59">
        <v>739331001</v>
      </c>
      <c r="B59" t="s">
        <v>1697</v>
      </c>
      <c r="C59" t="s">
        <v>89</v>
      </c>
      <c r="D59" t="s">
        <v>1690</v>
      </c>
      <c r="E59" s="30" t="s">
        <v>14</v>
      </c>
      <c r="F59" s="31">
        <v>0</v>
      </c>
      <c r="G59" s="31">
        <v>0</v>
      </c>
      <c r="H59" s="31">
        <v>0</v>
      </c>
      <c r="I59" s="31">
        <v>5</v>
      </c>
      <c r="J59" s="31">
        <f t="shared" si="1"/>
        <v>5</v>
      </c>
      <c r="K59" s="28">
        <v>168000</v>
      </c>
      <c r="L59" s="29">
        <v>0.81</v>
      </c>
      <c r="M59" s="31">
        <f t="shared" si="2"/>
        <v>136080</v>
      </c>
      <c r="N59" s="28">
        <f t="shared" si="7"/>
        <v>31919.999999999993</v>
      </c>
    </row>
    <row r="60" spans="1:15" x14ac:dyDescent="0.35">
      <c r="A60">
        <v>739332001</v>
      </c>
      <c r="B60" t="s">
        <v>1698</v>
      </c>
      <c r="C60" t="s">
        <v>89</v>
      </c>
      <c r="D60" t="s">
        <v>1690</v>
      </c>
      <c r="E60" s="30" t="s">
        <v>14</v>
      </c>
      <c r="F60" s="31">
        <v>0</v>
      </c>
      <c r="G60" s="31">
        <v>11</v>
      </c>
      <c r="H60" s="31">
        <v>0</v>
      </c>
      <c r="I60" s="31">
        <v>24</v>
      </c>
      <c r="J60" s="31">
        <f t="shared" si="1"/>
        <v>35</v>
      </c>
      <c r="K60" s="28">
        <v>168000</v>
      </c>
      <c r="L60" s="29">
        <v>0.81</v>
      </c>
      <c r="M60" s="31">
        <f t="shared" si="2"/>
        <v>136080</v>
      </c>
      <c r="N60" s="28">
        <f t="shared" si="7"/>
        <v>31919.999999999993</v>
      </c>
    </row>
    <row r="61" spans="1:15" x14ac:dyDescent="0.35">
      <c r="A61">
        <v>739333001</v>
      </c>
      <c r="B61" t="s">
        <v>1699</v>
      </c>
      <c r="C61" t="s">
        <v>89</v>
      </c>
      <c r="D61" t="s">
        <v>1690</v>
      </c>
      <c r="E61" s="30" t="s">
        <v>14</v>
      </c>
      <c r="F61" s="31">
        <v>0</v>
      </c>
      <c r="G61" s="31">
        <v>0</v>
      </c>
      <c r="H61" s="31">
        <v>0</v>
      </c>
      <c r="I61" s="31">
        <v>10</v>
      </c>
      <c r="J61" s="31">
        <f t="shared" si="1"/>
        <v>10</v>
      </c>
      <c r="K61" s="28">
        <v>168000</v>
      </c>
      <c r="L61" s="29">
        <v>0.81</v>
      </c>
      <c r="M61" s="31">
        <f t="shared" si="2"/>
        <v>136080</v>
      </c>
      <c r="N61" s="28">
        <f t="shared" si="7"/>
        <v>31919.999999999993</v>
      </c>
    </row>
    <row r="62" spans="1:15" x14ac:dyDescent="0.35">
      <c r="A62">
        <v>729824003</v>
      </c>
      <c r="B62" t="s">
        <v>1700</v>
      </c>
      <c r="C62" t="s">
        <v>565</v>
      </c>
      <c r="D62" t="s">
        <v>13</v>
      </c>
      <c r="E62" s="30" t="s">
        <v>14</v>
      </c>
      <c r="F62" s="31">
        <v>0</v>
      </c>
      <c r="G62" s="31">
        <v>0</v>
      </c>
      <c r="H62" s="31">
        <v>0</v>
      </c>
      <c r="I62" s="31">
        <v>7</v>
      </c>
      <c r="J62" s="31">
        <f t="shared" si="1"/>
        <v>7</v>
      </c>
      <c r="K62" s="28">
        <v>198000</v>
      </c>
      <c r="L62" s="29">
        <v>0.81</v>
      </c>
      <c r="M62" s="31">
        <f t="shared" si="2"/>
        <v>160380</v>
      </c>
      <c r="N62" s="28">
        <f t="shared" si="7"/>
        <v>37619.999999999993</v>
      </c>
    </row>
    <row r="63" spans="1:15" x14ac:dyDescent="0.35">
      <c r="A63">
        <v>729824006</v>
      </c>
      <c r="B63" t="s">
        <v>564</v>
      </c>
      <c r="C63" t="s">
        <v>565</v>
      </c>
      <c r="D63" t="s">
        <v>13</v>
      </c>
      <c r="E63" s="30" t="s">
        <v>14</v>
      </c>
      <c r="F63" s="31">
        <v>0</v>
      </c>
      <c r="G63" s="31">
        <v>0</v>
      </c>
      <c r="H63" s="31">
        <v>0</v>
      </c>
      <c r="I63" s="31">
        <v>1</v>
      </c>
      <c r="J63" s="31">
        <f t="shared" si="1"/>
        <v>1</v>
      </c>
      <c r="K63" s="28">
        <v>198000</v>
      </c>
      <c r="L63" s="29">
        <v>0.81</v>
      </c>
      <c r="M63" s="31">
        <f t="shared" si="2"/>
        <v>160380</v>
      </c>
      <c r="N63" s="28">
        <f t="shared" si="7"/>
        <v>37619.999999999993</v>
      </c>
      <c r="O63" s="28">
        <v>99000</v>
      </c>
    </row>
    <row r="64" spans="1:15" x14ac:dyDescent="0.35">
      <c r="A64">
        <v>729824009</v>
      </c>
      <c r="B64" t="s">
        <v>1701</v>
      </c>
      <c r="C64" t="s">
        <v>565</v>
      </c>
      <c r="D64" t="s">
        <v>13</v>
      </c>
      <c r="E64" s="30" t="s">
        <v>14</v>
      </c>
      <c r="F64" s="31">
        <v>0</v>
      </c>
      <c r="G64" s="31">
        <v>0</v>
      </c>
      <c r="H64" s="31">
        <v>0</v>
      </c>
      <c r="I64" s="31">
        <v>4</v>
      </c>
      <c r="J64" s="31">
        <f t="shared" si="1"/>
        <v>4</v>
      </c>
      <c r="K64" s="28">
        <v>198000</v>
      </c>
      <c r="L64" s="29">
        <v>0.81</v>
      </c>
      <c r="M64" s="31">
        <f t="shared" si="2"/>
        <v>160380</v>
      </c>
      <c r="N64" s="28">
        <f t="shared" si="7"/>
        <v>37619.999999999993</v>
      </c>
    </row>
    <row r="65" spans="1:15" x14ac:dyDescent="0.35">
      <c r="A65">
        <v>729824011</v>
      </c>
      <c r="B65" t="s">
        <v>1702</v>
      </c>
      <c r="C65" t="s">
        <v>565</v>
      </c>
      <c r="D65" t="s">
        <v>13</v>
      </c>
      <c r="E65" s="30" t="s">
        <v>14</v>
      </c>
      <c r="F65" s="31">
        <v>0</v>
      </c>
      <c r="G65" s="31">
        <v>0</v>
      </c>
      <c r="H65" s="31">
        <v>0</v>
      </c>
      <c r="I65" s="31">
        <v>1</v>
      </c>
      <c r="J65" s="31">
        <f t="shared" si="1"/>
        <v>1</v>
      </c>
      <c r="K65" s="28">
        <v>198000</v>
      </c>
      <c r="L65" s="29">
        <v>0.81</v>
      </c>
      <c r="M65" s="31">
        <f t="shared" si="2"/>
        <v>160380</v>
      </c>
      <c r="N65" s="28">
        <f t="shared" si="7"/>
        <v>37619.999999999993</v>
      </c>
    </row>
    <row r="66" spans="1:15" x14ac:dyDescent="0.35">
      <c r="A66">
        <v>729825008</v>
      </c>
      <c r="B66" t="s">
        <v>1703</v>
      </c>
      <c r="C66" t="s">
        <v>565</v>
      </c>
      <c r="D66" t="s">
        <v>13</v>
      </c>
      <c r="E66" s="30" t="s">
        <v>14</v>
      </c>
      <c r="F66" s="31">
        <v>0</v>
      </c>
      <c r="G66" s="31">
        <v>0</v>
      </c>
      <c r="H66" s="31">
        <v>0</v>
      </c>
      <c r="I66" s="31">
        <v>3</v>
      </c>
      <c r="J66" s="31">
        <f t="shared" si="1"/>
        <v>3</v>
      </c>
      <c r="K66" s="28">
        <v>248000</v>
      </c>
      <c r="L66" s="29">
        <v>0.81</v>
      </c>
      <c r="M66" s="31">
        <f t="shared" si="2"/>
        <v>200880</v>
      </c>
      <c r="N66" s="28">
        <f t="shared" si="7"/>
        <v>47119.999999999985</v>
      </c>
    </row>
    <row r="67" spans="1:15" x14ac:dyDescent="0.35">
      <c r="A67">
        <v>729825009</v>
      </c>
      <c r="B67" t="s">
        <v>1704</v>
      </c>
      <c r="C67" t="s">
        <v>565</v>
      </c>
      <c r="D67" t="s">
        <v>13</v>
      </c>
      <c r="E67" s="30" t="s">
        <v>14</v>
      </c>
      <c r="F67" s="31">
        <v>0</v>
      </c>
      <c r="G67" s="31">
        <v>0</v>
      </c>
      <c r="H67" s="31">
        <v>0</v>
      </c>
      <c r="I67" s="31">
        <v>5</v>
      </c>
      <c r="J67" s="31">
        <f t="shared" si="1"/>
        <v>5</v>
      </c>
      <c r="K67" s="28">
        <v>248000</v>
      </c>
      <c r="L67" s="29">
        <v>0.81</v>
      </c>
      <c r="M67" s="31">
        <f t="shared" si="2"/>
        <v>200880</v>
      </c>
      <c r="N67" s="28">
        <f t="shared" si="7"/>
        <v>47119.999999999985</v>
      </c>
    </row>
    <row r="68" spans="1:15" x14ac:dyDescent="0.35">
      <c r="A68">
        <v>729826004</v>
      </c>
      <c r="B68" t="s">
        <v>1705</v>
      </c>
      <c r="C68" t="s">
        <v>565</v>
      </c>
      <c r="D68" t="s">
        <v>13</v>
      </c>
      <c r="E68" s="30" t="s">
        <v>14</v>
      </c>
      <c r="F68" s="31">
        <v>0</v>
      </c>
      <c r="G68" s="31">
        <v>0</v>
      </c>
      <c r="H68" s="31">
        <v>0</v>
      </c>
      <c r="I68" s="31">
        <v>7</v>
      </c>
      <c r="J68" s="31">
        <f t="shared" ref="J68:J131" si="8">SUM(F68:I68)</f>
        <v>7</v>
      </c>
      <c r="K68" s="28">
        <v>278000</v>
      </c>
      <c r="L68" s="29">
        <v>0.81</v>
      </c>
      <c r="M68" s="31">
        <f t="shared" ref="M68:M131" si="9">K68*L68</f>
        <v>225180.00000000003</v>
      </c>
      <c r="N68" s="28">
        <f t="shared" si="7"/>
        <v>52819.999999999985</v>
      </c>
    </row>
    <row r="69" spans="1:15" x14ac:dyDescent="0.35">
      <c r="A69">
        <v>729827005</v>
      </c>
      <c r="B69" t="s">
        <v>1706</v>
      </c>
      <c r="C69" t="s">
        <v>565</v>
      </c>
      <c r="D69" t="s">
        <v>13</v>
      </c>
      <c r="E69" s="30" t="s">
        <v>14</v>
      </c>
      <c r="F69" s="31">
        <v>0</v>
      </c>
      <c r="G69" s="31">
        <v>0</v>
      </c>
      <c r="H69" s="31">
        <v>0</v>
      </c>
      <c r="I69" s="31">
        <v>2</v>
      </c>
      <c r="J69" s="31">
        <f t="shared" si="8"/>
        <v>2</v>
      </c>
      <c r="K69" s="28">
        <v>298000</v>
      </c>
      <c r="L69" s="29">
        <v>0.81</v>
      </c>
      <c r="M69" s="31">
        <f t="shared" si="9"/>
        <v>241380.00000000003</v>
      </c>
      <c r="N69" s="28">
        <f t="shared" si="7"/>
        <v>56619.999999999985</v>
      </c>
    </row>
    <row r="70" spans="1:15" x14ac:dyDescent="0.35">
      <c r="A70">
        <v>730913004</v>
      </c>
      <c r="B70" t="s">
        <v>1707</v>
      </c>
      <c r="C70" t="s">
        <v>565</v>
      </c>
      <c r="D70" t="s">
        <v>13</v>
      </c>
      <c r="E70" s="30" t="s">
        <v>14</v>
      </c>
      <c r="F70" s="31">
        <v>0</v>
      </c>
      <c r="G70" s="31">
        <v>0</v>
      </c>
      <c r="H70" s="31">
        <v>0</v>
      </c>
      <c r="I70" s="31">
        <v>13</v>
      </c>
      <c r="J70" s="31">
        <f t="shared" si="8"/>
        <v>13</v>
      </c>
      <c r="K70" s="28">
        <v>178000</v>
      </c>
      <c r="L70" s="29">
        <v>0.81</v>
      </c>
      <c r="M70" s="31">
        <f t="shared" si="9"/>
        <v>144180</v>
      </c>
      <c r="N70" s="28">
        <f t="shared" si="7"/>
        <v>33819.999999999993</v>
      </c>
    </row>
    <row r="71" spans="1:15" x14ac:dyDescent="0.35">
      <c r="A71">
        <v>730913005</v>
      </c>
      <c r="B71" t="s">
        <v>1708</v>
      </c>
      <c r="C71" t="s">
        <v>565</v>
      </c>
      <c r="D71" t="s">
        <v>13</v>
      </c>
      <c r="E71" s="30" t="s">
        <v>14</v>
      </c>
      <c r="F71" s="31">
        <v>0</v>
      </c>
      <c r="G71" s="31">
        <v>0</v>
      </c>
      <c r="H71" s="31">
        <v>0</v>
      </c>
      <c r="I71" s="31">
        <v>4</v>
      </c>
      <c r="J71" s="31">
        <f t="shared" si="8"/>
        <v>4</v>
      </c>
      <c r="K71" s="28">
        <v>178000</v>
      </c>
      <c r="L71" s="29">
        <v>0.81</v>
      </c>
      <c r="M71" s="31">
        <f t="shared" si="9"/>
        <v>144180</v>
      </c>
      <c r="N71" s="28">
        <f t="shared" si="7"/>
        <v>33819.999999999993</v>
      </c>
    </row>
    <row r="72" spans="1:15" x14ac:dyDescent="0.35">
      <c r="A72">
        <v>731813002</v>
      </c>
      <c r="B72" t="s">
        <v>1709</v>
      </c>
      <c r="C72" t="s">
        <v>565</v>
      </c>
      <c r="D72" t="s">
        <v>13</v>
      </c>
      <c r="E72" s="30" t="s">
        <v>14</v>
      </c>
      <c r="F72" s="31">
        <v>0</v>
      </c>
      <c r="G72" s="31">
        <v>0</v>
      </c>
      <c r="H72" s="31">
        <v>0</v>
      </c>
      <c r="I72" s="31">
        <v>2</v>
      </c>
      <c r="J72" s="31">
        <f t="shared" si="8"/>
        <v>2</v>
      </c>
      <c r="K72" s="28">
        <v>248000</v>
      </c>
      <c r="L72" s="29">
        <v>0.81</v>
      </c>
      <c r="M72" s="31">
        <f t="shared" si="9"/>
        <v>200880</v>
      </c>
      <c r="N72" s="28">
        <f t="shared" si="7"/>
        <v>47119.999999999985</v>
      </c>
    </row>
    <row r="73" spans="1:15" x14ac:dyDescent="0.35">
      <c r="A73">
        <v>731814001</v>
      </c>
      <c r="B73" t="s">
        <v>1710</v>
      </c>
      <c r="C73" t="s">
        <v>565</v>
      </c>
      <c r="D73" t="s">
        <v>13</v>
      </c>
      <c r="E73" s="30" t="s">
        <v>14</v>
      </c>
      <c r="F73" s="31">
        <v>0</v>
      </c>
      <c r="G73" s="31">
        <v>0</v>
      </c>
      <c r="H73" s="31">
        <v>0</v>
      </c>
      <c r="I73" s="31">
        <v>3</v>
      </c>
      <c r="J73" s="31">
        <f t="shared" si="8"/>
        <v>3</v>
      </c>
      <c r="K73" s="28">
        <v>248000</v>
      </c>
      <c r="L73" s="29">
        <v>0.81</v>
      </c>
      <c r="M73" s="31">
        <f t="shared" si="9"/>
        <v>200880</v>
      </c>
      <c r="N73" s="28">
        <f t="shared" si="7"/>
        <v>47119.999999999985</v>
      </c>
    </row>
    <row r="74" spans="1:15" x14ac:dyDescent="0.35">
      <c r="A74">
        <v>739115002</v>
      </c>
      <c r="B74" t="s">
        <v>1711</v>
      </c>
      <c r="C74" t="s">
        <v>565</v>
      </c>
      <c r="D74" t="s">
        <v>13</v>
      </c>
      <c r="E74" s="30" t="s">
        <v>14</v>
      </c>
      <c r="F74" s="31">
        <v>0</v>
      </c>
      <c r="G74" s="31">
        <v>0</v>
      </c>
      <c r="H74" s="31">
        <v>0</v>
      </c>
      <c r="I74" s="31">
        <v>1</v>
      </c>
      <c r="J74" s="31">
        <f t="shared" si="8"/>
        <v>1</v>
      </c>
      <c r="K74" s="28">
        <v>198000</v>
      </c>
      <c r="L74" s="29">
        <v>0.81</v>
      </c>
      <c r="M74" s="31">
        <f t="shared" si="9"/>
        <v>160380</v>
      </c>
      <c r="N74" s="28">
        <f t="shared" si="7"/>
        <v>37619.999999999993</v>
      </c>
    </row>
    <row r="75" spans="1:15" x14ac:dyDescent="0.35">
      <c r="A75">
        <v>729468004</v>
      </c>
      <c r="B75" t="s">
        <v>11</v>
      </c>
      <c r="C75" t="s">
        <v>12</v>
      </c>
      <c r="D75" t="s">
        <v>13</v>
      </c>
      <c r="E75" s="30" t="s">
        <v>14</v>
      </c>
      <c r="F75" s="31">
        <v>0</v>
      </c>
      <c r="G75" s="31">
        <v>0</v>
      </c>
      <c r="H75" s="31">
        <v>0</v>
      </c>
      <c r="I75" s="31">
        <v>6</v>
      </c>
      <c r="J75" s="31">
        <f t="shared" si="8"/>
        <v>6</v>
      </c>
      <c r="K75" s="28">
        <v>248000</v>
      </c>
      <c r="L75" s="29">
        <v>0.81</v>
      </c>
      <c r="M75" s="31">
        <f t="shared" si="9"/>
        <v>200880</v>
      </c>
      <c r="N75" s="28">
        <f t="shared" si="7"/>
        <v>47119.999999999985</v>
      </c>
    </row>
    <row r="76" spans="1:15" x14ac:dyDescent="0.35">
      <c r="A76">
        <v>729468005</v>
      </c>
      <c r="B76" t="s">
        <v>566</v>
      </c>
      <c r="C76" t="s">
        <v>12</v>
      </c>
      <c r="D76" t="s">
        <v>13</v>
      </c>
      <c r="E76" s="30" t="s">
        <v>14</v>
      </c>
      <c r="F76" s="31">
        <v>0</v>
      </c>
      <c r="G76" s="31">
        <v>0</v>
      </c>
      <c r="H76" s="31">
        <v>0</v>
      </c>
      <c r="I76" s="31">
        <v>7</v>
      </c>
      <c r="J76" s="31">
        <f t="shared" si="8"/>
        <v>7</v>
      </c>
      <c r="K76" s="28">
        <v>248000</v>
      </c>
      <c r="L76" s="29">
        <v>0.81</v>
      </c>
      <c r="M76" s="31">
        <f t="shared" si="9"/>
        <v>200880</v>
      </c>
      <c r="N76" s="28">
        <f t="shared" si="7"/>
        <v>47119.999999999985</v>
      </c>
      <c r="O76" s="28">
        <v>124000</v>
      </c>
    </row>
    <row r="77" spans="1:15" x14ac:dyDescent="0.35">
      <c r="A77">
        <v>729469001</v>
      </c>
      <c r="B77" t="s">
        <v>15</v>
      </c>
      <c r="C77" t="s">
        <v>12</v>
      </c>
      <c r="D77" t="s">
        <v>13</v>
      </c>
      <c r="E77" s="30" t="s">
        <v>14</v>
      </c>
      <c r="F77" s="31">
        <v>0</v>
      </c>
      <c r="G77" s="31">
        <v>0</v>
      </c>
      <c r="H77" s="31">
        <v>0</v>
      </c>
      <c r="I77" s="31">
        <v>15</v>
      </c>
      <c r="J77" s="31">
        <f t="shared" si="8"/>
        <v>15</v>
      </c>
      <c r="K77" s="28">
        <v>248000</v>
      </c>
      <c r="L77" s="29">
        <v>0.81</v>
      </c>
      <c r="M77" s="31">
        <f t="shared" si="9"/>
        <v>200880</v>
      </c>
      <c r="N77" s="28">
        <f t="shared" si="7"/>
        <v>47119.999999999985</v>
      </c>
    </row>
    <row r="78" spans="1:15" x14ac:dyDescent="0.35">
      <c r="A78">
        <v>731759001</v>
      </c>
      <c r="B78" t="s">
        <v>16</v>
      </c>
      <c r="C78" t="s">
        <v>12</v>
      </c>
      <c r="D78" t="s">
        <v>13</v>
      </c>
      <c r="E78" s="30" t="s">
        <v>14</v>
      </c>
      <c r="F78" s="31">
        <v>0</v>
      </c>
      <c r="G78" s="31">
        <v>0</v>
      </c>
      <c r="H78" s="31">
        <v>0</v>
      </c>
      <c r="I78" s="31">
        <v>6</v>
      </c>
      <c r="J78" s="31">
        <f t="shared" si="8"/>
        <v>6</v>
      </c>
      <c r="K78" s="28">
        <v>178000</v>
      </c>
      <c r="L78" s="29">
        <v>0.45</v>
      </c>
      <c r="M78" s="31">
        <f t="shared" si="9"/>
        <v>80100</v>
      </c>
      <c r="N78" s="28">
        <f t="shared" ref="N67:N130" si="10">K78*(1-L78)</f>
        <v>97900.000000000015</v>
      </c>
    </row>
    <row r="79" spans="1:15" x14ac:dyDescent="0.35">
      <c r="A79">
        <v>731877001</v>
      </c>
      <c r="B79" t="s">
        <v>17</v>
      </c>
      <c r="C79" t="s">
        <v>12</v>
      </c>
      <c r="D79" t="s">
        <v>13</v>
      </c>
      <c r="E79" s="30" t="s">
        <v>14</v>
      </c>
      <c r="F79" s="31">
        <v>0</v>
      </c>
      <c r="G79" s="31">
        <v>0</v>
      </c>
      <c r="H79" s="31">
        <v>0</v>
      </c>
      <c r="I79" s="31">
        <v>24</v>
      </c>
      <c r="J79" s="31">
        <f t="shared" si="8"/>
        <v>24</v>
      </c>
      <c r="K79" s="28">
        <v>178000</v>
      </c>
      <c r="L79" s="29">
        <v>0.45</v>
      </c>
      <c r="M79" s="31">
        <f t="shared" si="9"/>
        <v>80100</v>
      </c>
      <c r="N79" s="28">
        <f t="shared" si="10"/>
        <v>97900.000000000015</v>
      </c>
    </row>
    <row r="80" spans="1:15" x14ac:dyDescent="0.35">
      <c r="A80">
        <v>732237001</v>
      </c>
      <c r="B80" t="s">
        <v>18</v>
      </c>
      <c r="C80" t="s">
        <v>12</v>
      </c>
      <c r="D80" t="s">
        <v>13</v>
      </c>
      <c r="E80" s="30" t="s">
        <v>14</v>
      </c>
      <c r="F80" s="31">
        <v>0</v>
      </c>
      <c r="G80" s="31">
        <v>0</v>
      </c>
      <c r="H80" s="31">
        <v>0</v>
      </c>
      <c r="I80" s="31">
        <v>14</v>
      </c>
      <c r="J80" s="31">
        <f t="shared" si="8"/>
        <v>14</v>
      </c>
      <c r="K80" s="28">
        <v>198000</v>
      </c>
      <c r="L80" s="29">
        <v>0.45</v>
      </c>
      <c r="M80" s="31">
        <f t="shared" si="9"/>
        <v>89100</v>
      </c>
      <c r="N80" s="28">
        <f t="shared" si="10"/>
        <v>108900.00000000001</v>
      </c>
    </row>
    <row r="81" spans="1:15" x14ac:dyDescent="0.35">
      <c r="A81">
        <v>733967001</v>
      </c>
      <c r="B81" t="s">
        <v>19</v>
      </c>
      <c r="C81" t="s">
        <v>12</v>
      </c>
      <c r="D81" t="s">
        <v>13</v>
      </c>
      <c r="E81" s="30" t="s">
        <v>14</v>
      </c>
      <c r="F81" s="31">
        <v>0</v>
      </c>
      <c r="G81" s="31">
        <v>0</v>
      </c>
      <c r="H81" s="31">
        <v>0</v>
      </c>
      <c r="I81" s="31">
        <v>1</v>
      </c>
      <c r="J81" s="31">
        <f t="shared" si="8"/>
        <v>1</v>
      </c>
      <c r="K81" s="28">
        <v>298000</v>
      </c>
      <c r="L81" s="29">
        <v>0.81</v>
      </c>
      <c r="M81" s="31">
        <f t="shared" si="9"/>
        <v>241380.00000000003</v>
      </c>
      <c r="N81" s="28">
        <f t="shared" si="10"/>
        <v>56619.999999999985</v>
      </c>
    </row>
    <row r="82" spans="1:15" x14ac:dyDescent="0.35">
      <c r="A82">
        <v>733971001</v>
      </c>
      <c r="B82" t="s">
        <v>20</v>
      </c>
      <c r="C82" t="s">
        <v>12</v>
      </c>
      <c r="D82" t="s">
        <v>13</v>
      </c>
      <c r="E82" s="30" t="s">
        <v>14</v>
      </c>
      <c r="F82" s="31">
        <v>0</v>
      </c>
      <c r="G82" s="31">
        <v>0</v>
      </c>
      <c r="H82" s="31">
        <v>0</v>
      </c>
      <c r="I82" s="31">
        <v>28</v>
      </c>
      <c r="J82" s="31">
        <f t="shared" si="8"/>
        <v>28</v>
      </c>
      <c r="K82" s="28">
        <v>178000</v>
      </c>
      <c r="L82" s="29">
        <v>0.45</v>
      </c>
      <c r="M82" s="31">
        <f t="shared" si="9"/>
        <v>80100</v>
      </c>
      <c r="N82" s="28">
        <f t="shared" si="10"/>
        <v>97900.000000000015</v>
      </c>
    </row>
    <row r="83" spans="1:15" x14ac:dyDescent="0.35">
      <c r="A83">
        <v>733973001</v>
      </c>
      <c r="B83" t="s">
        <v>21</v>
      </c>
      <c r="C83" t="s">
        <v>12</v>
      </c>
      <c r="D83" t="s">
        <v>13</v>
      </c>
      <c r="E83" s="30" t="s">
        <v>14</v>
      </c>
      <c r="F83" s="31">
        <v>0</v>
      </c>
      <c r="G83" s="31">
        <v>0</v>
      </c>
      <c r="H83" s="31">
        <v>0</v>
      </c>
      <c r="I83" s="31">
        <v>31</v>
      </c>
      <c r="J83" s="31">
        <f t="shared" si="8"/>
        <v>31</v>
      </c>
      <c r="K83" s="28">
        <v>178000</v>
      </c>
      <c r="L83" s="29">
        <v>0.45</v>
      </c>
      <c r="M83" s="31">
        <f t="shared" si="9"/>
        <v>80100</v>
      </c>
      <c r="N83" s="28">
        <f t="shared" si="10"/>
        <v>97900.000000000015</v>
      </c>
    </row>
    <row r="84" spans="1:15" x14ac:dyDescent="0.35">
      <c r="A84">
        <v>733978001</v>
      </c>
      <c r="B84" t="s">
        <v>567</v>
      </c>
      <c r="C84" t="s">
        <v>12</v>
      </c>
      <c r="D84" t="s">
        <v>13</v>
      </c>
      <c r="E84" s="30" t="s">
        <v>14</v>
      </c>
      <c r="F84" s="31">
        <v>0</v>
      </c>
      <c r="G84" s="31">
        <v>0</v>
      </c>
      <c r="H84" s="31">
        <v>0</v>
      </c>
      <c r="I84" s="31">
        <v>3</v>
      </c>
      <c r="J84" s="31">
        <f t="shared" si="8"/>
        <v>3</v>
      </c>
      <c r="K84" s="28">
        <v>398000</v>
      </c>
      <c r="L84" s="29">
        <v>0.81</v>
      </c>
      <c r="M84" s="31">
        <f t="shared" si="9"/>
        <v>322380</v>
      </c>
      <c r="N84" s="28">
        <f t="shared" si="10"/>
        <v>75619.999999999985</v>
      </c>
      <c r="O84" s="28">
        <v>199000</v>
      </c>
    </row>
    <row r="85" spans="1:15" x14ac:dyDescent="0.35">
      <c r="A85">
        <v>733978002</v>
      </c>
      <c r="B85" t="s">
        <v>568</v>
      </c>
      <c r="C85" t="s">
        <v>12</v>
      </c>
      <c r="D85" t="s">
        <v>13</v>
      </c>
      <c r="E85" s="30" t="s">
        <v>14</v>
      </c>
      <c r="F85" s="31">
        <v>0</v>
      </c>
      <c r="G85" s="31">
        <v>0</v>
      </c>
      <c r="H85" s="31">
        <v>0</v>
      </c>
      <c r="I85" s="31">
        <v>1</v>
      </c>
      <c r="J85" s="31">
        <f t="shared" si="8"/>
        <v>1</v>
      </c>
      <c r="K85" s="28">
        <v>398000</v>
      </c>
      <c r="L85" s="29">
        <v>0.81</v>
      </c>
      <c r="M85" s="31">
        <f t="shared" si="9"/>
        <v>322380</v>
      </c>
      <c r="N85" s="28">
        <f t="shared" si="10"/>
        <v>75619.999999999985</v>
      </c>
      <c r="O85" s="28">
        <v>199000</v>
      </c>
    </row>
    <row r="86" spans="1:15" x14ac:dyDescent="0.35">
      <c r="A86">
        <v>735105001</v>
      </c>
      <c r="B86" t="s">
        <v>22</v>
      </c>
      <c r="C86" t="s">
        <v>12</v>
      </c>
      <c r="D86" t="s">
        <v>13</v>
      </c>
      <c r="E86" s="30" t="s">
        <v>14</v>
      </c>
      <c r="F86" s="31">
        <v>0</v>
      </c>
      <c r="G86" s="31">
        <v>0</v>
      </c>
      <c r="H86" s="31">
        <v>0</v>
      </c>
      <c r="I86" s="31">
        <v>21</v>
      </c>
      <c r="J86" s="31">
        <f t="shared" si="8"/>
        <v>21</v>
      </c>
      <c r="K86" s="28">
        <v>178000</v>
      </c>
      <c r="L86" s="29">
        <v>0.45</v>
      </c>
      <c r="M86" s="31">
        <f t="shared" si="9"/>
        <v>80100</v>
      </c>
      <c r="N86" s="28">
        <f t="shared" si="10"/>
        <v>97900.000000000015</v>
      </c>
    </row>
    <row r="87" spans="1:15" x14ac:dyDescent="0.35">
      <c r="A87">
        <v>735452001</v>
      </c>
      <c r="B87" t="s">
        <v>23</v>
      </c>
      <c r="C87" t="s">
        <v>12</v>
      </c>
      <c r="D87" t="s">
        <v>13</v>
      </c>
      <c r="E87" s="30" t="s">
        <v>14</v>
      </c>
      <c r="F87" s="31">
        <v>0</v>
      </c>
      <c r="G87" s="31">
        <v>0</v>
      </c>
      <c r="H87" s="31">
        <v>0</v>
      </c>
      <c r="I87" s="31">
        <v>19</v>
      </c>
      <c r="J87" s="31">
        <f t="shared" si="8"/>
        <v>19</v>
      </c>
      <c r="K87" s="28">
        <v>178000</v>
      </c>
      <c r="L87" s="29">
        <v>0.45</v>
      </c>
      <c r="M87" s="31">
        <f t="shared" si="9"/>
        <v>80100</v>
      </c>
      <c r="N87" s="28">
        <f t="shared" si="10"/>
        <v>97900.000000000015</v>
      </c>
    </row>
    <row r="88" spans="1:15" x14ac:dyDescent="0.35">
      <c r="A88">
        <v>737657001</v>
      </c>
      <c r="B88" t="s">
        <v>1712</v>
      </c>
      <c r="C88" t="s">
        <v>12</v>
      </c>
      <c r="D88" t="s">
        <v>13</v>
      </c>
      <c r="E88" s="30" t="s">
        <v>14</v>
      </c>
      <c r="F88" s="31">
        <v>0</v>
      </c>
      <c r="G88" s="31">
        <v>0</v>
      </c>
      <c r="H88" s="31">
        <v>0</v>
      </c>
      <c r="I88" s="31">
        <v>5</v>
      </c>
      <c r="J88" s="31">
        <f t="shared" si="8"/>
        <v>5</v>
      </c>
      <c r="K88" s="28">
        <v>64000</v>
      </c>
      <c r="L88" s="29">
        <v>0.45</v>
      </c>
      <c r="M88" s="31">
        <f t="shared" si="9"/>
        <v>28800</v>
      </c>
      <c r="N88" s="28">
        <f t="shared" si="10"/>
        <v>35200</v>
      </c>
    </row>
    <row r="89" spans="1:15" x14ac:dyDescent="0.35">
      <c r="A89">
        <v>739200001</v>
      </c>
      <c r="B89" t="s">
        <v>24</v>
      </c>
      <c r="C89" t="s">
        <v>12</v>
      </c>
      <c r="D89" t="s">
        <v>13</v>
      </c>
      <c r="E89" s="30" t="s">
        <v>14</v>
      </c>
      <c r="F89" s="31">
        <v>0</v>
      </c>
      <c r="G89" s="31">
        <v>0</v>
      </c>
      <c r="H89" s="31">
        <v>7</v>
      </c>
      <c r="I89" s="31">
        <v>84</v>
      </c>
      <c r="J89" s="31">
        <f t="shared" si="8"/>
        <v>91</v>
      </c>
      <c r="K89" s="28">
        <v>148000</v>
      </c>
      <c r="L89" s="29">
        <v>0.45</v>
      </c>
      <c r="M89" s="31">
        <f t="shared" si="9"/>
        <v>66600</v>
      </c>
      <c r="N89" s="28">
        <f t="shared" si="10"/>
        <v>81400</v>
      </c>
    </row>
    <row r="90" spans="1:15" x14ac:dyDescent="0.35">
      <c r="A90">
        <v>739227001</v>
      </c>
      <c r="B90" t="s">
        <v>25</v>
      </c>
      <c r="C90" t="s">
        <v>12</v>
      </c>
      <c r="D90" t="s">
        <v>13</v>
      </c>
      <c r="E90" s="30" t="s">
        <v>14</v>
      </c>
      <c r="F90" s="31">
        <v>0</v>
      </c>
      <c r="G90" s="31">
        <v>0</v>
      </c>
      <c r="H90" s="31">
        <v>0</v>
      </c>
      <c r="I90" s="31">
        <v>3</v>
      </c>
      <c r="J90" s="31">
        <f t="shared" si="8"/>
        <v>3</v>
      </c>
      <c r="K90" s="28">
        <v>178000</v>
      </c>
      <c r="L90" s="29">
        <v>0.45</v>
      </c>
      <c r="M90" s="31">
        <f t="shared" si="9"/>
        <v>80100</v>
      </c>
      <c r="N90" s="28">
        <f t="shared" si="10"/>
        <v>97900.000000000015</v>
      </c>
    </row>
    <row r="91" spans="1:15" x14ac:dyDescent="0.35">
      <c r="A91">
        <v>739228001</v>
      </c>
      <c r="B91" t="s">
        <v>26</v>
      </c>
      <c r="C91" t="s">
        <v>12</v>
      </c>
      <c r="D91" t="s">
        <v>13</v>
      </c>
      <c r="E91" s="30" t="s">
        <v>14</v>
      </c>
      <c r="F91" s="31">
        <v>0</v>
      </c>
      <c r="G91" s="31">
        <v>0</v>
      </c>
      <c r="H91" s="31">
        <v>0</v>
      </c>
      <c r="I91" s="31">
        <v>20</v>
      </c>
      <c r="J91" s="31">
        <f t="shared" si="8"/>
        <v>20</v>
      </c>
      <c r="K91" s="28">
        <v>178000</v>
      </c>
      <c r="L91" s="29">
        <v>0.45</v>
      </c>
      <c r="M91" s="31">
        <f t="shared" si="9"/>
        <v>80100</v>
      </c>
      <c r="N91" s="28">
        <f t="shared" si="10"/>
        <v>97900.000000000015</v>
      </c>
    </row>
    <row r="92" spans="1:15" x14ac:dyDescent="0.35">
      <c r="A92">
        <v>736335001</v>
      </c>
      <c r="B92" t="s">
        <v>1713</v>
      </c>
      <c r="C92" t="s">
        <v>426</v>
      </c>
      <c r="D92" t="s">
        <v>13</v>
      </c>
      <c r="E92" s="30" t="s">
        <v>14</v>
      </c>
      <c r="F92" s="31">
        <v>0</v>
      </c>
      <c r="G92" s="31">
        <v>0</v>
      </c>
      <c r="H92" s="31">
        <v>0</v>
      </c>
      <c r="I92" s="31">
        <v>4</v>
      </c>
      <c r="J92" s="31">
        <f t="shared" si="8"/>
        <v>4</v>
      </c>
      <c r="K92" s="28">
        <v>17000</v>
      </c>
      <c r="L92" s="29">
        <v>0.81</v>
      </c>
      <c r="M92" s="31">
        <f t="shared" si="9"/>
        <v>13770</v>
      </c>
      <c r="N92" s="28">
        <f t="shared" si="10"/>
        <v>3229.9999999999991</v>
      </c>
    </row>
    <row r="93" spans="1:15" x14ac:dyDescent="0.35">
      <c r="A93">
        <v>736336001</v>
      </c>
      <c r="B93" t="s">
        <v>1714</v>
      </c>
      <c r="C93" t="s">
        <v>426</v>
      </c>
      <c r="D93" t="s">
        <v>13</v>
      </c>
      <c r="E93" s="30" t="s">
        <v>14</v>
      </c>
      <c r="F93" s="31">
        <v>0</v>
      </c>
      <c r="G93" s="31">
        <v>0</v>
      </c>
      <c r="H93" s="31">
        <v>0</v>
      </c>
      <c r="I93" s="31">
        <v>28</v>
      </c>
      <c r="J93" s="31">
        <f t="shared" si="8"/>
        <v>28</v>
      </c>
      <c r="K93" s="28">
        <v>24000</v>
      </c>
      <c r="L93" s="29">
        <v>0.81</v>
      </c>
      <c r="M93" s="31">
        <f t="shared" si="9"/>
        <v>19440</v>
      </c>
      <c r="N93" s="28">
        <f t="shared" si="10"/>
        <v>4559.9999999999991</v>
      </c>
    </row>
    <row r="94" spans="1:15" x14ac:dyDescent="0.35">
      <c r="A94">
        <v>704210001</v>
      </c>
      <c r="B94" t="s">
        <v>1715</v>
      </c>
      <c r="C94" t="s">
        <v>1716</v>
      </c>
      <c r="D94" t="s">
        <v>13</v>
      </c>
      <c r="E94" s="30" t="s">
        <v>14</v>
      </c>
      <c r="F94" s="31">
        <v>0</v>
      </c>
      <c r="G94" s="31">
        <v>0</v>
      </c>
      <c r="H94" s="31">
        <v>0</v>
      </c>
      <c r="I94" s="31">
        <v>2</v>
      </c>
      <c r="J94" s="31">
        <f t="shared" si="8"/>
        <v>2</v>
      </c>
      <c r="K94" s="28">
        <v>14000</v>
      </c>
      <c r="L94" s="29">
        <v>0.81</v>
      </c>
      <c r="M94" s="31">
        <f t="shared" si="9"/>
        <v>11340</v>
      </c>
      <c r="N94" s="28">
        <f t="shared" si="10"/>
        <v>2659.9999999999991</v>
      </c>
    </row>
    <row r="95" spans="1:15" x14ac:dyDescent="0.35">
      <c r="A95">
        <v>714255001</v>
      </c>
      <c r="B95" t="s">
        <v>1717</v>
      </c>
      <c r="C95" t="s">
        <v>12</v>
      </c>
      <c r="D95" t="s">
        <v>98</v>
      </c>
      <c r="E95" s="30" t="s">
        <v>14</v>
      </c>
      <c r="F95" s="31">
        <v>0</v>
      </c>
      <c r="G95" s="31">
        <v>0</v>
      </c>
      <c r="H95" s="31">
        <v>0</v>
      </c>
      <c r="I95" s="31">
        <v>30</v>
      </c>
      <c r="J95" s="31">
        <f t="shared" si="8"/>
        <v>30</v>
      </c>
      <c r="K95" s="28">
        <v>198000</v>
      </c>
      <c r="L95" s="29">
        <v>0.17</v>
      </c>
      <c r="M95" s="31">
        <f t="shared" si="9"/>
        <v>33660</v>
      </c>
      <c r="N95" s="28">
        <f t="shared" si="10"/>
        <v>164340</v>
      </c>
    </row>
    <row r="96" spans="1:15" x14ac:dyDescent="0.35">
      <c r="A96">
        <v>722552004</v>
      </c>
      <c r="B96" t="s">
        <v>1718</v>
      </c>
      <c r="C96" t="s">
        <v>12</v>
      </c>
      <c r="D96" t="s">
        <v>98</v>
      </c>
      <c r="E96" s="30" t="s">
        <v>14</v>
      </c>
      <c r="F96" s="31">
        <v>0</v>
      </c>
      <c r="G96" s="31">
        <v>0</v>
      </c>
      <c r="H96" s="31">
        <v>0</v>
      </c>
      <c r="I96" s="31">
        <v>4</v>
      </c>
      <c r="J96" s="31">
        <f t="shared" si="8"/>
        <v>4</v>
      </c>
      <c r="K96" s="28">
        <v>198000</v>
      </c>
      <c r="L96" s="29">
        <v>0.17</v>
      </c>
      <c r="M96" s="31">
        <f t="shared" si="9"/>
        <v>33660</v>
      </c>
      <c r="N96" s="28">
        <f t="shared" si="10"/>
        <v>164340</v>
      </c>
    </row>
    <row r="97" spans="1:14" x14ac:dyDescent="0.35">
      <c r="A97">
        <v>727740001</v>
      </c>
      <c r="B97" t="s">
        <v>1719</v>
      </c>
      <c r="C97" t="s">
        <v>12</v>
      </c>
      <c r="D97" t="s">
        <v>98</v>
      </c>
      <c r="E97" s="30" t="s">
        <v>14</v>
      </c>
      <c r="F97" s="31">
        <v>0</v>
      </c>
      <c r="G97" s="31">
        <v>0</v>
      </c>
      <c r="H97" s="31">
        <v>0</v>
      </c>
      <c r="I97" s="31">
        <v>44</v>
      </c>
      <c r="J97" s="31">
        <f t="shared" si="8"/>
        <v>44</v>
      </c>
      <c r="K97" s="28">
        <v>228000</v>
      </c>
      <c r="L97" s="29">
        <v>0.17</v>
      </c>
      <c r="M97" s="31">
        <f t="shared" si="9"/>
        <v>38760</v>
      </c>
      <c r="N97" s="28">
        <f t="shared" si="10"/>
        <v>189240</v>
      </c>
    </row>
    <row r="98" spans="1:14" x14ac:dyDescent="0.35">
      <c r="A98">
        <v>727740003</v>
      </c>
      <c r="B98" t="s">
        <v>1720</v>
      </c>
      <c r="C98" t="s">
        <v>12</v>
      </c>
      <c r="D98" t="s">
        <v>98</v>
      </c>
      <c r="E98" s="30" t="s">
        <v>14</v>
      </c>
      <c r="F98" s="31">
        <v>0</v>
      </c>
      <c r="G98" s="31">
        <v>0</v>
      </c>
      <c r="H98" s="31">
        <v>0</v>
      </c>
      <c r="I98" s="31">
        <v>72</v>
      </c>
      <c r="J98" s="31">
        <f t="shared" si="8"/>
        <v>72</v>
      </c>
      <c r="K98" s="28">
        <v>228000</v>
      </c>
      <c r="L98" s="29">
        <v>0.17</v>
      </c>
      <c r="M98" s="31">
        <f t="shared" si="9"/>
        <v>38760</v>
      </c>
      <c r="N98" s="28">
        <f t="shared" si="10"/>
        <v>189240</v>
      </c>
    </row>
    <row r="99" spans="1:14" x14ac:dyDescent="0.35">
      <c r="A99">
        <v>727740004</v>
      </c>
      <c r="B99" t="s">
        <v>1721</v>
      </c>
      <c r="C99" t="s">
        <v>12</v>
      </c>
      <c r="D99" t="s">
        <v>98</v>
      </c>
      <c r="E99" s="30" t="s">
        <v>14</v>
      </c>
      <c r="F99" s="31">
        <v>0</v>
      </c>
      <c r="G99" s="31">
        <v>0</v>
      </c>
      <c r="H99" s="31">
        <v>0</v>
      </c>
      <c r="I99" s="31">
        <v>27</v>
      </c>
      <c r="J99" s="31">
        <f t="shared" si="8"/>
        <v>27</v>
      </c>
      <c r="K99" s="28">
        <v>228000</v>
      </c>
      <c r="L99" s="29">
        <v>0.17</v>
      </c>
      <c r="M99" s="31">
        <f t="shared" si="9"/>
        <v>38760</v>
      </c>
      <c r="N99" s="28">
        <f t="shared" si="10"/>
        <v>189240</v>
      </c>
    </row>
    <row r="100" spans="1:14" x14ac:dyDescent="0.35">
      <c r="A100">
        <v>727741001</v>
      </c>
      <c r="B100" t="s">
        <v>1722</v>
      </c>
      <c r="C100" t="s">
        <v>12</v>
      </c>
      <c r="D100" t="s">
        <v>98</v>
      </c>
      <c r="E100" s="30" t="s">
        <v>14</v>
      </c>
      <c r="F100" s="31">
        <v>0</v>
      </c>
      <c r="G100" s="31">
        <v>0</v>
      </c>
      <c r="H100" s="31">
        <v>0</v>
      </c>
      <c r="I100" s="31">
        <v>12</v>
      </c>
      <c r="J100" s="31">
        <f t="shared" si="8"/>
        <v>12</v>
      </c>
      <c r="K100" s="28">
        <v>228000</v>
      </c>
      <c r="L100" s="29">
        <v>0.17</v>
      </c>
      <c r="M100" s="31">
        <f t="shared" si="9"/>
        <v>38760</v>
      </c>
      <c r="N100" s="28">
        <f t="shared" si="10"/>
        <v>189240</v>
      </c>
    </row>
    <row r="101" spans="1:14" x14ac:dyDescent="0.35">
      <c r="A101">
        <v>727742001</v>
      </c>
      <c r="B101" t="s">
        <v>1723</v>
      </c>
      <c r="C101" t="s">
        <v>12</v>
      </c>
      <c r="D101" t="s">
        <v>98</v>
      </c>
      <c r="E101" s="30" t="s">
        <v>14</v>
      </c>
      <c r="F101" s="31">
        <v>0</v>
      </c>
      <c r="G101" s="31">
        <v>0</v>
      </c>
      <c r="H101" s="31">
        <v>0</v>
      </c>
      <c r="I101" s="31">
        <v>4</v>
      </c>
      <c r="J101" s="31">
        <f t="shared" si="8"/>
        <v>4</v>
      </c>
      <c r="K101" s="28">
        <v>398000</v>
      </c>
      <c r="L101" s="29">
        <v>0.17</v>
      </c>
      <c r="M101" s="31">
        <f t="shared" si="9"/>
        <v>67660</v>
      </c>
      <c r="N101" s="28">
        <f t="shared" si="10"/>
        <v>330340</v>
      </c>
    </row>
    <row r="102" spans="1:14" x14ac:dyDescent="0.35">
      <c r="A102">
        <v>727742002</v>
      </c>
      <c r="B102" t="s">
        <v>1724</v>
      </c>
      <c r="C102" t="s">
        <v>12</v>
      </c>
      <c r="D102" t="s">
        <v>98</v>
      </c>
      <c r="E102" s="30" t="s">
        <v>14</v>
      </c>
      <c r="F102" s="31">
        <v>0</v>
      </c>
      <c r="G102" s="31">
        <v>0</v>
      </c>
      <c r="H102" s="31">
        <v>0</v>
      </c>
      <c r="I102" s="31">
        <v>6</v>
      </c>
      <c r="J102" s="31">
        <f t="shared" si="8"/>
        <v>6</v>
      </c>
      <c r="K102" s="28">
        <v>398000</v>
      </c>
      <c r="L102" s="29">
        <v>0.17</v>
      </c>
      <c r="M102" s="31">
        <f t="shared" si="9"/>
        <v>67660</v>
      </c>
      <c r="N102" s="28">
        <f t="shared" si="10"/>
        <v>330340</v>
      </c>
    </row>
    <row r="103" spans="1:14" x14ac:dyDescent="0.35">
      <c r="A103">
        <v>727742005</v>
      </c>
      <c r="B103" t="s">
        <v>1725</v>
      </c>
      <c r="C103" t="s">
        <v>12</v>
      </c>
      <c r="D103" t="s">
        <v>98</v>
      </c>
      <c r="E103" s="30" t="s">
        <v>14</v>
      </c>
      <c r="F103" s="31">
        <v>0</v>
      </c>
      <c r="G103" s="31">
        <v>0</v>
      </c>
      <c r="H103" s="31">
        <v>0</v>
      </c>
      <c r="I103" s="31">
        <v>31</v>
      </c>
      <c r="J103" s="31">
        <f t="shared" si="8"/>
        <v>31</v>
      </c>
      <c r="K103" s="28">
        <v>398000</v>
      </c>
      <c r="L103" s="29">
        <v>0.17</v>
      </c>
      <c r="M103" s="31">
        <f t="shared" si="9"/>
        <v>67660</v>
      </c>
      <c r="N103" s="28">
        <f t="shared" si="10"/>
        <v>330340</v>
      </c>
    </row>
    <row r="104" spans="1:14" x14ac:dyDescent="0.35">
      <c r="A104">
        <v>727742006</v>
      </c>
      <c r="B104" t="s">
        <v>1726</v>
      </c>
      <c r="C104" t="s">
        <v>12</v>
      </c>
      <c r="D104" t="s">
        <v>98</v>
      </c>
      <c r="E104" s="30" t="s">
        <v>14</v>
      </c>
      <c r="F104" s="31">
        <v>0</v>
      </c>
      <c r="G104" s="31">
        <v>0</v>
      </c>
      <c r="H104" s="31">
        <v>0</v>
      </c>
      <c r="I104" s="31">
        <v>11</v>
      </c>
      <c r="J104" s="31">
        <f t="shared" si="8"/>
        <v>11</v>
      </c>
      <c r="K104" s="28">
        <v>398000</v>
      </c>
      <c r="L104" s="29">
        <v>0.17</v>
      </c>
      <c r="M104" s="31">
        <f t="shared" si="9"/>
        <v>67660</v>
      </c>
      <c r="N104" s="28">
        <f t="shared" si="10"/>
        <v>330340</v>
      </c>
    </row>
    <row r="105" spans="1:14" x14ac:dyDescent="0.35">
      <c r="A105">
        <v>730420001</v>
      </c>
      <c r="B105" t="s">
        <v>1727</v>
      </c>
      <c r="C105" t="s">
        <v>12</v>
      </c>
      <c r="D105" t="s">
        <v>98</v>
      </c>
      <c r="E105" s="30" t="s">
        <v>14</v>
      </c>
      <c r="F105" s="31">
        <v>0</v>
      </c>
      <c r="G105" s="31">
        <v>0</v>
      </c>
      <c r="H105" s="31">
        <v>0</v>
      </c>
      <c r="I105" s="31">
        <v>38</v>
      </c>
      <c r="J105" s="31">
        <f t="shared" si="8"/>
        <v>38</v>
      </c>
      <c r="K105" s="28">
        <v>228000</v>
      </c>
      <c r="L105" s="29">
        <v>0.17</v>
      </c>
      <c r="M105" s="31">
        <f t="shared" si="9"/>
        <v>38760</v>
      </c>
      <c r="N105" s="28">
        <f t="shared" si="10"/>
        <v>189240</v>
      </c>
    </row>
    <row r="106" spans="1:14" x14ac:dyDescent="0.35">
      <c r="A106">
        <v>731763002</v>
      </c>
      <c r="B106" t="s">
        <v>1728</v>
      </c>
      <c r="C106" t="s">
        <v>12</v>
      </c>
      <c r="D106" t="s">
        <v>98</v>
      </c>
      <c r="E106" s="30" t="s">
        <v>14</v>
      </c>
      <c r="F106" s="31">
        <v>0</v>
      </c>
      <c r="G106" s="31">
        <v>0</v>
      </c>
      <c r="H106" s="31">
        <v>0</v>
      </c>
      <c r="I106" s="31">
        <v>2</v>
      </c>
      <c r="J106" s="31">
        <f t="shared" si="8"/>
        <v>2</v>
      </c>
      <c r="K106" s="28">
        <v>398000</v>
      </c>
      <c r="L106" s="29">
        <v>0.17</v>
      </c>
      <c r="M106" s="31">
        <f t="shared" si="9"/>
        <v>67660</v>
      </c>
      <c r="N106" s="28">
        <f t="shared" si="10"/>
        <v>330340</v>
      </c>
    </row>
    <row r="107" spans="1:14" x14ac:dyDescent="0.35">
      <c r="A107">
        <v>731763004</v>
      </c>
      <c r="B107" t="s">
        <v>1729</v>
      </c>
      <c r="C107" t="s">
        <v>12</v>
      </c>
      <c r="D107" t="s">
        <v>98</v>
      </c>
      <c r="E107" s="30" t="s">
        <v>14</v>
      </c>
      <c r="F107" s="31">
        <v>0</v>
      </c>
      <c r="G107" s="31">
        <v>0</v>
      </c>
      <c r="H107" s="31">
        <v>0</v>
      </c>
      <c r="I107" s="31">
        <v>3</v>
      </c>
      <c r="J107" s="31">
        <f t="shared" si="8"/>
        <v>3</v>
      </c>
      <c r="K107" s="28">
        <v>398000</v>
      </c>
      <c r="L107" s="29">
        <v>0.17</v>
      </c>
      <c r="M107" s="31">
        <f t="shared" si="9"/>
        <v>67660</v>
      </c>
      <c r="N107" s="28">
        <f t="shared" si="10"/>
        <v>330340</v>
      </c>
    </row>
    <row r="108" spans="1:14" x14ac:dyDescent="0.35">
      <c r="A108">
        <v>731763007</v>
      </c>
      <c r="B108" t="s">
        <v>1730</v>
      </c>
      <c r="C108" t="s">
        <v>12</v>
      </c>
      <c r="D108" t="s">
        <v>98</v>
      </c>
      <c r="E108" s="30" t="s">
        <v>14</v>
      </c>
      <c r="F108" s="31">
        <v>0</v>
      </c>
      <c r="G108" s="31">
        <v>0</v>
      </c>
      <c r="H108" s="31">
        <v>0</v>
      </c>
      <c r="I108" s="31">
        <v>5</v>
      </c>
      <c r="J108" s="31">
        <f t="shared" si="8"/>
        <v>5</v>
      </c>
      <c r="K108" s="28">
        <v>398000</v>
      </c>
      <c r="L108" s="29">
        <v>0.17</v>
      </c>
      <c r="M108" s="31">
        <f t="shared" si="9"/>
        <v>67660</v>
      </c>
      <c r="N108" s="28">
        <f t="shared" si="10"/>
        <v>330340</v>
      </c>
    </row>
    <row r="109" spans="1:14" x14ac:dyDescent="0.35">
      <c r="A109">
        <v>731763009</v>
      </c>
      <c r="B109" t="s">
        <v>1731</v>
      </c>
      <c r="C109" t="s">
        <v>12</v>
      </c>
      <c r="D109" t="s">
        <v>98</v>
      </c>
      <c r="E109" s="30" t="s">
        <v>14</v>
      </c>
      <c r="F109" s="31">
        <v>0</v>
      </c>
      <c r="G109" s="31">
        <v>0</v>
      </c>
      <c r="H109" s="31">
        <v>0</v>
      </c>
      <c r="I109" s="31">
        <v>5</v>
      </c>
      <c r="J109" s="31">
        <f t="shared" si="8"/>
        <v>5</v>
      </c>
      <c r="K109" s="28">
        <v>398000</v>
      </c>
      <c r="L109" s="29">
        <v>0.17</v>
      </c>
      <c r="M109" s="31">
        <f t="shared" si="9"/>
        <v>67660</v>
      </c>
      <c r="N109" s="28">
        <f t="shared" si="10"/>
        <v>330340</v>
      </c>
    </row>
    <row r="110" spans="1:14" x14ac:dyDescent="0.35">
      <c r="A110">
        <v>731796004</v>
      </c>
      <c r="B110" t="s">
        <v>1732</v>
      </c>
      <c r="C110" t="s">
        <v>12</v>
      </c>
      <c r="D110" t="s">
        <v>98</v>
      </c>
      <c r="E110" s="30" t="s">
        <v>14</v>
      </c>
      <c r="F110" s="31">
        <v>0</v>
      </c>
      <c r="G110" s="31">
        <v>0</v>
      </c>
      <c r="H110" s="31">
        <v>0</v>
      </c>
      <c r="I110" s="31">
        <v>9</v>
      </c>
      <c r="J110" s="31">
        <f t="shared" si="8"/>
        <v>9</v>
      </c>
      <c r="K110" s="28">
        <v>198000</v>
      </c>
      <c r="L110" s="29">
        <v>0.17</v>
      </c>
      <c r="M110" s="31">
        <f t="shared" si="9"/>
        <v>33660</v>
      </c>
      <c r="N110" s="28">
        <f t="shared" si="10"/>
        <v>164340</v>
      </c>
    </row>
    <row r="111" spans="1:14" x14ac:dyDescent="0.35">
      <c r="A111">
        <v>731796005</v>
      </c>
      <c r="B111" t="s">
        <v>1733</v>
      </c>
      <c r="C111" t="s">
        <v>12</v>
      </c>
      <c r="D111" t="s">
        <v>98</v>
      </c>
      <c r="E111" s="30" t="s">
        <v>14</v>
      </c>
      <c r="F111" s="31">
        <v>0</v>
      </c>
      <c r="G111" s="31">
        <v>0</v>
      </c>
      <c r="H111" s="31">
        <v>0</v>
      </c>
      <c r="I111" s="31">
        <v>38</v>
      </c>
      <c r="J111" s="31">
        <f t="shared" si="8"/>
        <v>38</v>
      </c>
      <c r="K111" s="28">
        <v>198000</v>
      </c>
      <c r="L111" s="29">
        <v>0.17</v>
      </c>
      <c r="M111" s="31">
        <f t="shared" si="9"/>
        <v>33660</v>
      </c>
      <c r="N111" s="28">
        <f t="shared" si="10"/>
        <v>164340</v>
      </c>
    </row>
    <row r="112" spans="1:14" x14ac:dyDescent="0.35">
      <c r="A112">
        <v>731808001</v>
      </c>
      <c r="B112" t="s">
        <v>1734</v>
      </c>
      <c r="C112" t="s">
        <v>12</v>
      </c>
      <c r="D112" t="s">
        <v>98</v>
      </c>
      <c r="E112" s="30" t="s">
        <v>14</v>
      </c>
      <c r="F112" s="31">
        <v>0</v>
      </c>
      <c r="G112" s="31">
        <v>0</v>
      </c>
      <c r="H112" s="31">
        <v>0</v>
      </c>
      <c r="I112" s="31">
        <v>1</v>
      </c>
      <c r="J112" s="31">
        <f t="shared" si="8"/>
        <v>1</v>
      </c>
      <c r="K112" s="28">
        <v>198000</v>
      </c>
      <c r="L112" s="29">
        <v>0.17</v>
      </c>
      <c r="M112" s="31">
        <f t="shared" si="9"/>
        <v>33660</v>
      </c>
      <c r="N112" s="28">
        <f t="shared" si="10"/>
        <v>164340</v>
      </c>
    </row>
    <row r="113" spans="1:15" x14ac:dyDescent="0.35">
      <c r="A113">
        <v>732914001</v>
      </c>
      <c r="B113" t="s">
        <v>1735</v>
      </c>
      <c r="C113" t="s">
        <v>12</v>
      </c>
      <c r="D113" t="s">
        <v>98</v>
      </c>
      <c r="E113" s="30" t="s">
        <v>14</v>
      </c>
      <c r="F113" s="31">
        <v>0</v>
      </c>
      <c r="G113" s="31">
        <v>0</v>
      </c>
      <c r="H113" s="31">
        <v>0</v>
      </c>
      <c r="I113" s="31">
        <v>9</v>
      </c>
      <c r="J113" s="31">
        <f t="shared" si="8"/>
        <v>9</v>
      </c>
      <c r="K113" s="28">
        <v>198000</v>
      </c>
      <c r="L113" s="29">
        <v>0.17</v>
      </c>
      <c r="M113" s="31">
        <f t="shared" si="9"/>
        <v>33660</v>
      </c>
      <c r="N113" s="28">
        <f t="shared" si="10"/>
        <v>164340</v>
      </c>
    </row>
    <row r="114" spans="1:15" x14ac:dyDescent="0.35">
      <c r="A114">
        <v>740357001</v>
      </c>
      <c r="B114" t="s">
        <v>1736</v>
      </c>
      <c r="C114" t="s">
        <v>12</v>
      </c>
      <c r="D114" t="s">
        <v>98</v>
      </c>
      <c r="E114" s="30" t="s">
        <v>14</v>
      </c>
      <c r="F114" s="31">
        <v>0</v>
      </c>
      <c r="G114" s="31">
        <v>0</v>
      </c>
      <c r="H114" s="31">
        <v>0</v>
      </c>
      <c r="I114" s="31">
        <v>16</v>
      </c>
      <c r="J114" s="31">
        <f t="shared" si="8"/>
        <v>16</v>
      </c>
      <c r="K114" s="28">
        <v>298000</v>
      </c>
      <c r="L114" s="29">
        <v>0.17</v>
      </c>
      <c r="M114" s="31">
        <f t="shared" si="9"/>
        <v>50660</v>
      </c>
      <c r="N114" s="28">
        <f t="shared" si="10"/>
        <v>247340</v>
      </c>
    </row>
    <row r="115" spans="1:15" x14ac:dyDescent="0.35">
      <c r="A115">
        <v>740357002</v>
      </c>
      <c r="B115" t="s">
        <v>1737</v>
      </c>
      <c r="C115" t="s">
        <v>12</v>
      </c>
      <c r="D115" t="s">
        <v>98</v>
      </c>
      <c r="E115" s="30" t="s">
        <v>14</v>
      </c>
      <c r="F115" s="31">
        <v>0</v>
      </c>
      <c r="G115" s="31">
        <v>0</v>
      </c>
      <c r="H115" s="31">
        <v>0</v>
      </c>
      <c r="I115" s="31">
        <v>16</v>
      </c>
      <c r="J115" s="31">
        <f t="shared" si="8"/>
        <v>16</v>
      </c>
      <c r="K115" s="28">
        <v>298000</v>
      </c>
      <c r="L115" s="29">
        <v>0.17</v>
      </c>
      <c r="M115" s="31">
        <f t="shared" si="9"/>
        <v>50660</v>
      </c>
      <c r="N115" s="28">
        <f t="shared" si="10"/>
        <v>247340</v>
      </c>
    </row>
    <row r="116" spans="1:15" x14ac:dyDescent="0.35">
      <c r="A116">
        <v>726115002</v>
      </c>
      <c r="B116" t="s">
        <v>1738</v>
      </c>
      <c r="C116" t="s">
        <v>391</v>
      </c>
      <c r="D116" t="s">
        <v>98</v>
      </c>
      <c r="E116" s="30" t="s">
        <v>14</v>
      </c>
      <c r="F116" s="31">
        <v>0</v>
      </c>
      <c r="G116" s="31">
        <v>0</v>
      </c>
      <c r="H116" s="31">
        <v>0</v>
      </c>
      <c r="I116" s="31">
        <v>1</v>
      </c>
      <c r="J116" s="31">
        <f t="shared" si="8"/>
        <v>1</v>
      </c>
      <c r="K116" s="28">
        <v>89000</v>
      </c>
      <c r="L116" s="29">
        <v>0.81</v>
      </c>
      <c r="M116" s="31">
        <f t="shared" si="9"/>
        <v>72090</v>
      </c>
      <c r="N116" s="28">
        <f t="shared" si="10"/>
        <v>16909.999999999996</v>
      </c>
    </row>
    <row r="117" spans="1:15" x14ac:dyDescent="0.35">
      <c r="A117">
        <v>725550001</v>
      </c>
      <c r="B117" t="s">
        <v>1739</v>
      </c>
      <c r="C117" t="s">
        <v>1665</v>
      </c>
      <c r="D117" t="s">
        <v>98</v>
      </c>
      <c r="E117" s="30" t="s">
        <v>14</v>
      </c>
      <c r="F117" s="31">
        <v>0</v>
      </c>
      <c r="G117" s="31">
        <v>0</v>
      </c>
      <c r="H117" s="31">
        <v>0</v>
      </c>
      <c r="I117" s="31">
        <v>24</v>
      </c>
      <c r="J117" s="31">
        <f t="shared" si="8"/>
        <v>24</v>
      </c>
      <c r="K117" s="28">
        <v>228000</v>
      </c>
      <c r="L117" s="29">
        <v>0.17</v>
      </c>
      <c r="M117" s="31">
        <f t="shared" si="9"/>
        <v>38760</v>
      </c>
      <c r="N117" s="28">
        <f t="shared" si="10"/>
        <v>189240</v>
      </c>
    </row>
    <row r="118" spans="1:15" x14ac:dyDescent="0.35">
      <c r="A118">
        <v>732329001</v>
      </c>
      <c r="B118" t="s">
        <v>1740</v>
      </c>
      <c r="C118" t="s">
        <v>1665</v>
      </c>
      <c r="D118" t="s">
        <v>98</v>
      </c>
      <c r="E118" s="30" t="s">
        <v>14</v>
      </c>
      <c r="F118" s="31">
        <v>0</v>
      </c>
      <c r="G118" s="31">
        <v>0</v>
      </c>
      <c r="H118" s="31">
        <v>0</v>
      </c>
      <c r="I118" s="31">
        <v>1</v>
      </c>
      <c r="J118" s="31">
        <f t="shared" si="8"/>
        <v>1</v>
      </c>
      <c r="K118" s="28">
        <v>128000</v>
      </c>
      <c r="L118" s="29">
        <v>0.17</v>
      </c>
      <c r="M118" s="31">
        <f t="shared" si="9"/>
        <v>21760</v>
      </c>
      <c r="N118" s="28">
        <f t="shared" si="10"/>
        <v>106240</v>
      </c>
    </row>
    <row r="119" spans="1:15" x14ac:dyDescent="0.35">
      <c r="A119">
        <v>739726001</v>
      </c>
      <c r="B119" t="s">
        <v>1741</v>
      </c>
      <c r="C119" t="s">
        <v>1665</v>
      </c>
      <c r="D119" t="s">
        <v>98</v>
      </c>
      <c r="E119" s="30" t="s">
        <v>14</v>
      </c>
      <c r="F119" s="31">
        <v>0</v>
      </c>
      <c r="G119" s="31">
        <v>0</v>
      </c>
      <c r="H119" s="31">
        <v>0</v>
      </c>
      <c r="I119" s="31">
        <v>5</v>
      </c>
      <c r="J119" s="31">
        <f t="shared" si="8"/>
        <v>5</v>
      </c>
      <c r="K119" s="28">
        <v>998000</v>
      </c>
      <c r="L119" s="29">
        <v>0.17</v>
      </c>
      <c r="M119" s="31">
        <f t="shared" si="9"/>
        <v>169660</v>
      </c>
      <c r="N119" s="28">
        <f t="shared" si="10"/>
        <v>828340</v>
      </c>
    </row>
    <row r="120" spans="1:15" x14ac:dyDescent="0.35">
      <c r="A120">
        <v>731972</v>
      </c>
      <c r="B120" t="s">
        <v>1742</v>
      </c>
      <c r="C120" t="s">
        <v>1716</v>
      </c>
      <c r="D120" t="s">
        <v>597</v>
      </c>
      <c r="E120" s="30" t="s">
        <v>14</v>
      </c>
      <c r="F120" s="31">
        <v>0</v>
      </c>
      <c r="G120" s="31">
        <v>0</v>
      </c>
      <c r="H120" s="31">
        <v>0</v>
      </c>
      <c r="I120" s="31">
        <v>1</v>
      </c>
      <c r="J120" s="31">
        <f t="shared" si="8"/>
        <v>1</v>
      </c>
      <c r="K120" s="28">
        <v>728000</v>
      </c>
      <c r="L120" s="29">
        <v>0.45</v>
      </c>
      <c r="M120" s="31">
        <f t="shared" si="9"/>
        <v>327600</v>
      </c>
      <c r="N120" s="28">
        <f t="shared" si="10"/>
        <v>400400.00000000006</v>
      </c>
    </row>
    <row r="121" spans="1:15" x14ac:dyDescent="0.35">
      <c r="A121">
        <v>731973</v>
      </c>
      <c r="B121" t="s">
        <v>1743</v>
      </c>
      <c r="C121" t="s">
        <v>1716</v>
      </c>
      <c r="D121" t="s">
        <v>597</v>
      </c>
      <c r="E121" s="30" t="s">
        <v>14</v>
      </c>
      <c r="F121" s="31">
        <v>0</v>
      </c>
      <c r="G121" s="31">
        <v>0</v>
      </c>
      <c r="H121" s="31">
        <v>0</v>
      </c>
      <c r="I121" s="31">
        <v>1</v>
      </c>
      <c r="J121" s="31">
        <f t="shared" si="8"/>
        <v>1</v>
      </c>
      <c r="K121" s="28">
        <v>728000</v>
      </c>
      <c r="L121" s="29">
        <v>0.45</v>
      </c>
      <c r="M121" s="31">
        <f t="shared" si="9"/>
        <v>327600</v>
      </c>
      <c r="N121" s="28">
        <f t="shared" si="10"/>
        <v>400400.00000000006</v>
      </c>
    </row>
    <row r="122" spans="1:15" x14ac:dyDescent="0.35">
      <c r="A122">
        <v>731975</v>
      </c>
      <c r="B122" t="s">
        <v>1744</v>
      </c>
      <c r="C122" t="s">
        <v>1716</v>
      </c>
      <c r="D122" t="s">
        <v>597</v>
      </c>
      <c r="E122" s="30" t="s">
        <v>14</v>
      </c>
      <c r="F122" s="31">
        <v>0</v>
      </c>
      <c r="G122" s="31">
        <v>0</v>
      </c>
      <c r="H122" s="31">
        <v>0</v>
      </c>
      <c r="I122" s="31">
        <v>2</v>
      </c>
      <c r="J122" s="31">
        <f t="shared" si="8"/>
        <v>2</v>
      </c>
      <c r="K122" s="28">
        <v>728000</v>
      </c>
      <c r="L122" s="29">
        <v>0.45</v>
      </c>
      <c r="M122" s="31">
        <f t="shared" si="9"/>
        <v>327600</v>
      </c>
      <c r="N122" s="28">
        <f t="shared" si="10"/>
        <v>400400.00000000006</v>
      </c>
    </row>
    <row r="123" spans="1:15" x14ac:dyDescent="0.35">
      <c r="A123">
        <v>731976</v>
      </c>
      <c r="B123" t="s">
        <v>1745</v>
      </c>
      <c r="C123" t="s">
        <v>1716</v>
      </c>
      <c r="D123" t="s">
        <v>597</v>
      </c>
      <c r="E123" s="30" t="s">
        <v>14</v>
      </c>
      <c r="F123" s="31">
        <v>0</v>
      </c>
      <c r="G123" s="31">
        <v>0</v>
      </c>
      <c r="H123" s="31">
        <v>0</v>
      </c>
      <c r="I123" s="31">
        <v>10</v>
      </c>
      <c r="J123" s="31">
        <f t="shared" si="8"/>
        <v>10</v>
      </c>
      <c r="K123" s="28">
        <v>598000</v>
      </c>
      <c r="L123" s="29">
        <v>0.45</v>
      </c>
      <c r="M123" s="31">
        <f t="shared" si="9"/>
        <v>269100</v>
      </c>
      <c r="N123" s="28">
        <f t="shared" si="10"/>
        <v>328900</v>
      </c>
    </row>
    <row r="124" spans="1:15" x14ac:dyDescent="0.35">
      <c r="A124">
        <v>731983</v>
      </c>
      <c r="B124" t="s">
        <v>1746</v>
      </c>
      <c r="C124" t="s">
        <v>1716</v>
      </c>
      <c r="D124" t="s">
        <v>597</v>
      </c>
      <c r="E124" s="30" t="s">
        <v>14</v>
      </c>
      <c r="F124" s="31">
        <v>0</v>
      </c>
      <c r="G124" s="31">
        <v>0</v>
      </c>
      <c r="H124" s="31">
        <v>0</v>
      </c>
      <c r="I124" s="31">
        <v>4</v>
      </c>
      <c r="J124" s="31">
        <f t="shared" si="8"/>
        <v>4</v>
      </c>
      <c r="K124" s="28">
        <v>748000</v>
      </c>
      <c r="L124" s="29">
        <v>0.45</v>
      </c>
      <c r="M124" s="31">
        <f t="shared" si="9"/>
        <v>336600</v>
      </c>
      <c r="N124" s="28">
        <f t="shared" si="10"/>
        <v>411400.00000000006</v>
      </c>
    </row>
    <row r="125" spans="1:15" x14ac:dyDescent="0.35">
      <c r="A125">
        <v>200030</v>
      </c>
      <c r="B125" t="s">
        <v>1747</v>
      </c>
      <c r="C125" t="s">
        <v>368</v>
      </c>
      <c r="D125" t="s">
        <v>597</v>
      </c>
      <c r="E125" s="30" t="s">
        <v>14</v>
      </c>
      <c r="F125" s="31">
        <v>0</v>
      </c>
      <c r="G125" s="31">
        <v>0</v>
      </c>
      <c r="H125" s="31">
        <v>0</v>
      </c>
      <c r="I125" s="31">
        <v>7</v>
      </c>
      <c r="J125" s="31">
        <f t="shared" si="8"/>
        <v>7</v>
      </c>
      <c r="K125" s="28">
        <v>79000</v>
      </c>
      <c r="L125" s="29">
        <v>0.45</v>
      </c>
      <c r="M125" s="31">
        <f t="shared" si="9"/>
        <v>35550</v>
      </c>
      <c r="N125" s="28">
        <f t="shared" si="10"/>
        <v>43450</v>
      </c>
    </row>
    <row r="126" spans="1:15" x14ac:dyDescent="0.35">
      <c r="A126">
        <v>200031</v>
      </c>
      <c r="B126" t="s">
        <v>1748</v>
      </c>
      <c r="C126" t="s">
        <v>368</v>
      </c>
      <c r="D126" t="s">
        <v>597</v>
      </c>
      <c r="E126" s="30" t="s">
        <v>14</v>
      </c>
      <c r="F126" s="31">
        <v>0</v>
      </c>
      <c r="G126" s="31">
        <v>0</v>
      </c>
      <c r="H126" s="31">
        <v>0</v>
      </c>
      <c r="I126" s="31">
        <v>5</v>
      </c>
      <c r="J126" s="31">
        <f t="shared" si="8"/>
        <v>5</v>
      </c>
      <c r="K126" s="28">
        <v>60000</v>
      </c>
      <c r="L126" s="29">
        <v>0.45</v>
      </c>
      <c r="M126" s="31">
        <f t="shared" si="9"/>
        <v>27000</v>
      </c>
      <c r="N126" s="28">
        <f t="shared" si="10"/>
        <v>33000</v>
      </c>
    </row>
    <row r="127" spans="1:15" x14ac:dyDescent="0.35">
      <c r="A127">
        <v>200032</v>
      </c>
      <c r="B127" t="s">
        <v>596</v>
      </c>
      <c r="C127" t="s">
        <v>368</v>
      </c>
      <c r="D127" t="s">
        <v>597</v>
      </c>
      <c r="E127" s="30" t="s">
        <v>14</v>
      </c>
      <c r="F127" s="31">
        <v>0</v>
      </c>
      <c r="G127" s="31">
        <v>0</v>
      </c>
      <c r="H127" s="31">
        <v>0</v>
      </c>
      <c r="I127" s="31">
        <v>1</v>
      </c>
      <c r="J127" s="31">
        <f t="shared" si="8"/>
        <v>1</v>
      </c>
      <c r="K127" s="28">
        <v>99000</v>
      </c>
      <c r="L127" s="29">
        <v>0.45</v>
      </c>
      <c r="M127" s="31">
        <f t="shared" si="9"/>
        <v>44550</v>
      </c>
      <c r="N127" s="28">
        <f t="shared" si="10"/>
        <v>54450.000000000007</v>
      </c>
      <c r="O127" s="28">
        <v>79000</v>
      </c>
    </row>
    <row r="128" spans="1:15" x14ac:dyDescent="0.35">
      <c r="A128">
        <v>201776001</v>
      </c>
      <c r="B128" t="s">
        <v>598</v>
      </c>
      <c r="C128" t="s">
        <v>368</v>
      </c>
      <c r="D128" t="s">
        <v>106</v>
      </c>
      <c r="E128" s="30" t="s">
        <v>14</v>
      </c>
      <c r="F128" s="31">
        <v>0</v>
      </c>
      <c r="G128" s="31">
        <v>0</v>
      </c>
      <c r="H128" s="31">
        <v>0</v>
      </c>
      <c r="I128" s="31">
        <v>1</v>
      </c>
      <c r="J128" s="31">
        <f t="shared" si="8"/>
        <v>1</v>
      </c>
      <c r="K128" s="28">
        <v>450000</v>
      </c>
      <c r="L128" s="29">
        <v>0.81</v>
      </c>
      <c r="M128" s="31">
        <f t="shared" si="9"/>
        <v>364500</v>
      </c>
      <c r="N128" s="28">
        <f t="shared" si="10"/>
        <v>85499.999999999971</v>
      </c>
      <c r="O128" s="28">
        <v>225000</v>
      </c>
    </row>
    <row r="129" spans="1:15" x14ac:dyDescent="0.35">
      <c r="A129">
        <v>201843001</v>
      </c>
      <c r="B129" t="s">
        <v>1749</v>
      </c>
      <c r="C129" t="s">
        <v>368</v>
      </c>
      <c r="D129" t="s">
        <v>106</v>
      </c>
      <c r="E129" s="30" t="s">
        <v>14</v>
      </c>
      <c r="F129" s="31">
        <v>0</v>
      </c>
      <c r="G129" s="31">
        <v>0</v>
      </c>
      <c r="H129" s="31">
        <v>0</v>
      </c>
      <c r="I129" s="31">
        <v>5</v>
      </c>
      <c r="J129" s="31">
        <f t="shared" si="8"/>
        <v>5</v>
      </c>
      <c r="K129" s="28">
        <v>49000</v>
      </c>
      <c r="L129" s="29">
        <v>0.45</v>
      </c>
      <c r="M129" s="31">
        <f t="shared" si="9"/>
        <v>22050</v>
      </c>
      <c r="N129" s="28">
        <f t="shared" si="10"/>
        <v>26950.000000000004</v>
      </c>
    </row>
    <row r="130" spans="1:15" x14ac:dyDescent="0.35">
      <c r="A130">
        <v>710948</v>
      </c>
      <c r="B130" t="s">
        <v>455</v>
      </c>
      <c r="C130" t="s">
        <v>368</v>
      </c>
      <c r="D130" t="s">
        <v>456</v>
      </c>
      <c r="E130" s="30" t="s">
        <v>14</v>
      </c>
      <c r="F130" s="31">
        <v>0</v>
      </c>
      <c r="G130" s="31">
        <v>0</v>
      </c>
      <c r="H130" s="31">
        <v>0</v>
      </c>
      <c r="I130" s="31">
        <v>1</v>
      </c>
      <c r="J130" s="31">
        <f t="shared" si="8"/>
        <v>1</v>
      </c>
      <c r="K130" s="28">
        <v>15000</v>
      </c>
      <c r="L130" s="29">
        <v>0.81</v>
      </c>
      <c r="M130" s="31">
        <f t="shared" si="9"/>
        <v>12150</v>
      </c>
      <c r="N130" s="28">
        <f t="shared" si="10"/>
        <v>2849.9999999999991</v>
      </c>
    </row>
    <row r="131" spans="1:15" x14ac:dyDescent="0.35">
      <c r="A131">
        <v>200865</v>
      </c>
      <c r="B131" t="s">
        <v>1750</v>
      </c>
      <c r="C131" t="s">
        <v>426</v>
      </c>
      <c r="D131" t="s">
        <v>96</v>
      </c>
      <c r="E131" s="30" t="s">
        <v>14</v>
      </c>
      <c r="F131" s="31">
        <v>0</v>
      </c>
      <c r="G131" s="31">
        <v>0</v>
      </c>
      <c r="H131" s="31">
        <v>0</v>
      </c>
      <c r="I131" s="31">
        <v>2</v>
      </c>
      <c r="J131" s="31">
        <f t="shared" si="8"/>
        <v>2</v>
      </c>
      <c r="K131" s="28">
        <v>60000</v>
      </c>
      <c r="L131" s="29">
        <v>0.81</v>
      </c>
      <c r="M131" s="31">
        <f t="shared" si="9"/>
        <v>48600</v>
      </c>
      <c r="N131" s="28">
        <f t="shared" ref="N131:N136" si="11">K131*(1-L131)</f>
        <v>11399.999999999996</v>
      </c>
    </row>
    <row r="132" spans="1:15" x14ac:dyDescent="0.35">
      <c r="A132">
        <v>703459</v>
      </c>
      <c r="B132" t="s">
        <v>603</v>
      </c>
      <c r="C132" t="s">
        <v>426</v>
      </c>
      <c r="D132" t="s">
        <v>96</v>
      </c>
      <c r="E132" s="30" t="s">
        <v>14</v>
      </c>
      <c r="F132" s="31">
        <v>0</v>
      </c>
      <c r="G132" s="31">
        <v>0</v>
      </c>
      <c r="H132" s="31">
        <v>0</v>
      </c>
      <c r="I132" s="31">
        <v>4</v>
      </c>
      <c r="J132" s="31">
        <f t="shared" ref="J132:J195" si="12">SUM(F132:I132)</f>
        <v>4</v>
      </c>
      <c r="K132" s="28">
        <v>18000</v>
      </c>
      <c r="L132" s="29">
        <v>0.81</v>
      </c>
      <c r="M132" s="31">
        <f t="shared" ref="M132:M195" si="13">K132*L132</f>
        <v>14580.000000000002</v>
      </c>
      <c r="N132" s="28">
        <f t="shared" si="11"/>
        <v>3419.9999999999991</v>
      </c>
      <c r="O132" s="28">
        <v>9000</v>
      </c>
    </row>
    <row r="133" spans="1:15" x14ac:dyDescent="0.35">
      <c r="A133">
        <v>200062</v>
      </c>
      <c r="B133" t="s">
        <v>604</v>
      </c>
      <c r="C133" t="s">
        <v>368</v>
      </c>
      <c r="D133" t="s">
        <v>96</v>
      </c>
      <c r="E133" s="30" t="s">
        <v>14</v>
      </c>
      <c r="F133" s="31">
        <v>0</v>
      </c>
      <c r="G133" s="31">
        <v>0</v>
      </c>
      <c r="H133" s="31">
        <v>0</v>
      </c>
      <c r="I133" s="31">
        <v>2</v>
      </c>
      <c r="J133" s="31">
        <f t="shared" si="12"/>
        <v>2</v>
      </c>
      <c r="K133" s="28">
        <v>280000</v>
      </c>
      <c r="L133" s="29">
        <v>0.81</v>
      </c>
      <c r="M133" s="31">
        <f t="shared" si="13"/>
        <v>226800.00000000003</v>
      </c>
      <c r="N133" s="28">
        <f t="shared" si="11"/>
        <v>53199.999999999985</v>
      </c>
      <c r="O133" s="28">
        <v>140000</v>
      </c>
    </row>
    <row r="134" spans="1:15" x14ac:dyDescent="0.35">
      <c r="A134">
        <v>201688</v>
      </c>
      <c r="B134" t="s">
        <v>605</v>
      </c>
      <c r="C134" t="s">
        <v>368</v>
      </c>
      <c r="D134" t="s">
        <v>96</v>
      </c>
      <c r="E134" s="30" t="s">
        <v>14</v>
      </c>
      <c r="F134" s="31">
        <v>0</v>
      </c>
      <c r="G134" s="31">
        <v>0</v>
      </c>
      <c r="H134" s="31">
        <v>0</v>
      </c>
      <c r="I134" s="31">
        <v>35</v>
      </c>
      <c r="J134" s="31">
        <f t="shared" si="12"/>
        <v>35</v>
      </c>
      <c r="K134" s="28">
        <v>175000</v>
      </c>
      <c r="L134" s="29">
        <v>0.81</v>
      </c>
      <c r="M134" s="31">
        <f t="shared" si="13"/>
        <v>141750</v>
      </c>
      <c r="N134" s="28">
        <f t="shared" si="11"/>
        <v>33249.999999999993</v>
      </c>
      <c r="O134" s="28">
        <v>87500</v>
      </c>
    </row>
    <row r="135" spans="1:15" x14ac:dyDescent="0.35">
      <c r="A135">
        <v>201771</v>
      </c>
      <c r="B135" t="s">
        <v>606</v>
      </c>
      <c r="C135" t="s">
        <v>368</v>
      </c>
      <c r="D135" t="s">
        <v>96</v>
      </c>
      <c r="E135" s="30" t="s">
        <v>14</v>
      </c>
      <c r="F135" s="31">
        <v>0</v>
      </c>
      <c r="G135" s="31">
        <v>0</v>
      </c>
      <c r="H135" s="31">
        <v>0</v>
      </c>
      <c r="I135" s="31">
        <v>5</v>
      </c>
      <c r="J135" s="31">
        <f t="shared" si="12"/>
        <v>5</v>
      </c>
      <c r="K135" s="28">
        <v>950000</v>
      </c>
      <c r="L135" s="29">
        <v>0.81</v>
      </c>
      <c r="M135" s="31">
        <f t="shared" si="13"/>
        <v>769500</v>
      </c>
      <c r="N135" s="28">
        <f t="shared" si="11"/>
        <v>180499.99999999994</v>
      </c>
      <c r="O135" s="28">
        <v>475000</v>
      </c>
    </row>
    <row r="136" spans="1:15" x14ac:dyDescent="0.35">
      <c r="A136">
        <v>201772</v>
      </c>
      <c r="B136" t="s">
        <v>607</v>
      </c>
      <c r="C136" t="s">
        <v>368</v>
      </c>
      <c r="D136" t="s">
        <v>96</v>
      </c>
      <c r="E136" s="30" t="s">
        <v>14</v>
      </c>
      <c r="F136" s="31">
        <v>0</v>
      </c>
      <c r="G136" s="31">
        <v>0</v>
      </c>
      <c r="H136" s="31">
        <v>0</v>
      </c>
      <c r="I136" s="31">
        <v>1</v>
      </c>
      <c r="J136" s="31">
        <f t="shared" si="12"/>
        <v>1</v>
      </c>
      <c r="K136" s="28">
        <v>210000</v>
      </c>
      <c r="L136" s="29">
        <v>0.81</v>
      </c>
      <c r="M136" s="31">
        <f t="shared" si="13"/>
        <v>170100</v>
      </c>
      <c r="N136" s="28">
        <f t="shared" si="11"/>
        <v>39899.999999999985</v>
      </c>
      <c r="O136" s="28">
        <v>105000</v>
      </c>
    </row>
    <row r="137" spans="1:15" x14ac:dyDescent="0.35">
      <c r="A137">
        <v>732324001</v>
      </c>
      <c r="B137" t="s">
        <v>1751</v>
      </c>
      <c r="C137" t="s">
        <v>1752</v>
      </c>
      <c r="D137" t="s">
        <v>381</v>
      </c>
      <c r="E137" s="30" t="s">
        <v>14</v>
      </c>
      <c r="F137" s="31">
        <v>0</v>
      </c>
      <c r="G137" s="31">
        <v>0</v>
      </c>
      <c r="H137" s="31">
        <v>0</v>
      </c>
      <c r="I137" s="31">
        <v>16</v>
      </c>
      <c r="J137" s="31">
        <f t="shared" si="12"/>
        <v>16</v>
      </c>
      <c r="K137" s="28">
        <v>948000</v>
      </c>
      <c r="L137" s="29">
        <v>0.17</v>
      </c>
      <c r="M137" s="31">
        <f t="shared" si="13"/>
        <v>161160</v>
      </c>
      <c r="N137" s="28">
        <f t="shared" ref="N131:N194" si="14">K137*(1-L137)</f>
        <v>786840</v>
      </c>
    </row>
    <row r="138" spans="1:15" x14ac:dyDescent="0.35">
      <c r="A138">
        <v>735304001</v>
      </c>
      <c r="B138" t="s">
        <v>1753</v>
      </c>
      <c r="C138" t="s">
        <v>1752</v>
      </c>
      <c r="D138" t="s">
        <v>381</v>
      </c>
      <c r="E138" s="30" t="s">
        <v>14</v>
      </c>
      <c r="F138" s="31">
        <v>0</v>
      </c>
      <c r="G138" s="31">
        <v>0</v>
      </c>
      <c r="H138" s="31">
        <v>0</v>
      </c>
      <c r="I138" s="31">
        <v>19</v>
      </c>
      <c r="J138" s="31">
        <f t="shared" si="12"/>
        <v>19</v>
      </c>
      <c r="K138" s="28">
        <v>1198000</v>
      </c>
      <c r="L138" s="29">
        <v>0.17</v>
      </c>
      <c r="M138" s="31">
        <f t="shared" si="13"/>
        <v>203660.00000000003</v>
      </c>
      <c r="N138" s="28">
        <f t="shared" si="14"/>
        <v>994340</v>
      </c>
    </row>
    <row r="139" spans="1:15" x14ac:dyDescent="0.35">
      <c r="A139">
        <v>735306001</v>
      </c>
      <c r="B139" t="s">
        <v>1754</v>
      </c>
      <c r="C139" t="s">
        <v>1752</v>
      </c>
      <c r="D139" t="s">
        <v>381</v>
      </c>
      <c r="E139" s="30" t="s">
        <v>14</v>
      </c>
      <c r="F139" s="31">
        <v>0</v>
      </c>
      <c r="G139" s="31">
        <v>0</v>
      </c>
      <c r="H139" s="31">
        <v>0</v>
      </c>
      <c r="I139" s="31">
        <v>2</v>
      </c>
      <c r="J139" s="31">
        <f t="shared" si="12"/>
        <v>2</v>
      </c>
      <c r="K139" s="28">
        <v>1948000</v>
      </c>
      <c r="L139" s="29">
        <v>0.17</v>
      </c>
      <c r="M139" s="31">
        <f t="shared" si="13"/>
        <v>331160</v>
      </c>
      <c r="N139" s="28">
        <f t="shared" si="14"/>
        <v>1616840</v>
      </c>
    </row>
    <row r="140" spans="1:15" x14ac:dyDescent="0.35">
      <c r="A140">
        <v>710320001</v>
      </c>
      <c r="B140" t="s">
        <v>380</v>
      </c>
      <c r="C140" t="s">
        <v>371</v>
      </c>
      <c r="D140" t="s">
        <v>381</v>
      </c>
      <c r="E140" s="30" t="s">
        <v>14</v>
      </c>
      <c r="F140" s="31">
        <v>0</v>
      </c>
      <c r="G140" s="31">
        <v>0</v>
      </c>
      <c r="H140" s="31">
        <v>0</v>
      </c>
      <c r="I140" s="31">
        <v>12</v>
      </c>
      <c r="J140" s="31">
        <f t="shared" si="12"/>
        <v>12</v>
      </c>
      <c r="K140" s="28">
        <v>198000</v>
      </c>
      <c r="L140" s="29">
        <v>0.45</v>
      </c>
      <c r="M140" s="31">
        <f t="shared" si="13"/>
        <v>89100</v>
      </c>
      <c r="N140" s="28">
        <f t="shared" si="14"/>
        <v>108900.00000000001</v>
      </c>
    </row>
    <row r="141" spans="1:15" x14ac:dyDescent="0.35">
      <c r="A141">
        <v>710321001</v>
      </c>
      <c r="B141" t="s">
        <v>382</v>
      </c>
      <c r="C141" t="s">
        <v>371</v>
      </c>
      <c r="D141" t="s">
        <v>381</v>
      </c>
      <c r="E141" s="30" t="s">
        <v>14</v>
      </c>
      <c r="F141" s="31">
        <v>0</v>
      </c>
      <c r="G141" s="31">
        <v>0</v>
      </c>
      <c r="H141" s="31">
        <v>0</v>
      </c>
      <c r="I141" s="31">
        <v>16</v>
      </c>
      <c r="J141" s="31">
        <f t="shared" si="12"/>
        <v>16</v>
      </c>
      <c r="K141" s="28">
        <v>248000</v>
      </c>
      <c r="L141" s="29">
        <v>0.45</v>
      </c>
      <c r="M141" s="31">
        <f t="shared" si="13"/>
        <v>111600</v>
      </c>
      <c r="N141" s="28">
        <f t="shared" si="14"/>
        <v>136400</v>
      </c>
    </row>
    <row r="142" spans="1:15" x14ac:dyDescent="0.35">
      <c r="A142">
        <v>710321002</v>
      </c>
      <c r="B142" t="s">
        <v>383</v>
      </c>
      <c r="C142" t="s">
        <v>371</v>
      </c>
      <c r="D142" t="s">
        <v>381</v>
      </c>
      <c r="E142" s="30" t="s">
        <v>14</v>
      </c>
      <c r="F142" s="31">
        <v>0</v>
      </c>
      <c r="G142" s="31">
        <v>0</v>
      </c>
      <c r="H142" s="31">
        <v>0</v>
      </c>
      <c r="I142" s="31">
        <v>29</v>
      </c>
      <c r="J142" s="31">
        <f t="shared" si="12"/>
        <v>29</v>
      </c>
      <c r="K142" s="28">
        <v>248000</v>
      </c>
      <c r="L142" s="29">
        <v>0.45</v>
      </c>
      <c r="M142" s="31">
        <f t="shared" si="13"/>
        <v>111600</v>
      </c>
      <c r="N142" s="28">
        <f t="shared" si="14"/>
        <v>136400</v>
      </c>
    </row>
    <row r="143" spans="1:15" x14ac:dyDescent="0.35">
      <c r="A143">
        <v>716947001</v>
      </c>
      <c r="B143" t="s">
        <v>384</v>
      </c>
      <c r="C143" t="s">
        <v>371</v>
      </c>
      <c r="D143" t="s">
        <v>381</v>
      </c>
      <c r="E143" s="30" t="s">
        <v>14</v>
      </c>
      <c r="F143" s="31">
        <v>0</v>
      </c>
      <c r="G143" s="31">
        <v>0</v>
      </c>
      <c r="H143" s="31">
        <v>0</v>
      </c>
      <c r="I143" s="31">
        <v>1</v>
      </c>
      <c r="J143" s="31">
        <f t="shared" si="12"/>
        <v>1</v>
      </c>
      <c r="K143" s="28">
        <v>398000</v>
      </c>
      <c r="L143" s="29">
        <v>0.81</v>
      </c>
      <c r="M143" s="31">
        <f t="shared" si="13"/>
        <v>322380</v>
      </c>
      <c r="N143" s="28">
        <f t="shared" si="14"/>
        <v>75619.999999999985</v>
      </c>
    </row>
    <row r="144" spans="1:15" x14ac:dyDescent="0.35">
      <c r="A144">
        <v>716947002</v>
      </c>
      <c r="B144" t="s">
        <v>385</v>
      </c>
      <c r="C144" t="s">
        <v>371</v>
      </c>
      <c r="D144" t="s">
        <v>381</v>
      </c>
      <c r="E144" s="30" t="s">
        <v>14</v>
      </c>
      <c r="F144" s="31">
        <v>0</v>
      </c>
      <c r="G144" s="31">
        <v>0</v>
      </c>
      <c r="H144" s="31">
        <v>0</v>
      </c>
      <c r="I144" s="31">
        <v>1</v>
      </c>
      <c r="J144" s="31">
        <f t="shared" si="12"/>
        <v>1</v>
      </c>
      <c r="K144" s="28">
        <v>398000</v>
      </c>
      <c r="L144" s="29">
        <v>0.81</v>
      </c>
      <c r="M144" s="31">
        <f t="shared" si="13"/>
        <v>322380</v>
      </c>
      <c r="N144" s="28">
        <f t="shared" si="14"/>
        <v>75619.999999999985</v>
      </c>
    </row>
    <row r="145" spans="1:15" x14ac:dyDescent="0.35">
      <c r="A145">
        <v>721650002</v>
      </c>
      <c r="B145" t="s">
        <v>386</v>
      </c>
      <c r="C145" t="s">
        <v>371</v>
      </c>
      <c r="D145" t="s">
        <v>381</v>
      </c>
      <c r="E145" s="30" t="s">
        <v>14</v>
      </c>
      <c r="F145" s="31">
        <v>0</v>
      </c>
      <c r="G145" s="31">
        <v>0</v>
      </c>
      <c r="H145" s="31">
        <v>0</v>
      </c>
      <c r="I145" s="31">
        <v>2</v>
      </c>
      <c r="J145" s="31">
        <f t="shared" si="12"/>
        <v>2</v>
      </c>
      <c r="K145" s="28">
        <v>298000</v>
      </c>
      <c r="L145" s="29">
        <v>0.81</v>
      </c>
      <c r="M145" s="31">
        <f t="shared" si="13"/>
        <v>241380.00000000003</v>
      </c>
      <c r="N145" s="28">
        <f t="shared" si="14"/>
        <v>56619.999999999985</v>
      </c>
    </row>
    <row r="146" spans="1:15" x14ac:dyDescent="0.35">
      <c r="A146">
        <v>721651001</v>
      </c>
      <c r="B146" t="s">
        <v>387</v>
      </c>
      <c r="C146" t="s">
        <v>371</v>
      </c>
      <c r="D146" t="s">
        <v>381</v>
      </c>
      <c r="E146" s="30" t="s">
        <v>14</v>
      </c>
      <c r="F146" s="31">
        <v>0</v>
      </c>
      <c r="G146" s="31">
        <v>0</v>
      </c>
      <c r="H146" s="31">
        <v>0</v>
      </c>
      <c r="I146" s="31">
        <v>47</v>
      </c>
      <c r="J146" s="31">
        <f t="shared" si="12"/>
        <v>47</v>
      </c>
      <c r="K146" s="28">
        <v>49000</v>
      </c>
      <c r="L146" s="29">
        <v>0.81</v>
      </c>
      <c r="M146" s="31">
        <f t="shared" si="13"/>
        <v>39690</v>
      </c>
      <c r="N146" s="28">
        <f t="shared" si="14"/>
        <v>9309.9999999999982</v>
      </c>
    </row>
    <row r="147" spans="1:15" x14ac:dyDescent="0.35">
      <c r="A147">
        <v>721652001</v>
      </c>
      <c r="B147" t="s">
        <v>388</v>
      </c>
      <c r="C147" t="s">
        <v>371</v>
      </c>
      <c r="D147" t="s">
        <v>381</v>
      </c>
      <c r="E147" s="30" t="s">
        <v>14</v>
      </c>
      <c r="F147" s="31">
        <v>0</v>
      </c>
      <c r="G147" s="31">
        <v>0</v>
      </c>
      <c r="H147" s="31">
        <v>0</v>
      </c>
      <c r="I147" s="31">
        <v>54</v>
      </c>
      <c r="J147" s="31">
        <f t="shared" si="12"/>
        <v>54</v>
      </c>
      <c r="K147" s="28">
        <v>49000</v>
      </c>
      <c r="L147" s="29">
        <v>0.81</v>
      </c>
      <c r="M147" s="31">
        <f t="shared" si="13"/>
        <v>39690</v>
      </c>
      <c r="N147" s="28">
        <f t="shared" si="14"/>
        <v>9309.9999999999982</v>
      </c>
    </row>
    <row r="148" spans="1:15" x14ac:dyDescent="0.35">
      <c r="A148">
        <v>728905001</v>
      </c>
      <c r="B148" t="s">
        <v>389</v>
      </c>
      <c r="C148" t="s">
        <v>371</v>
      </c>
      <c r="D148" t="s">
        <v>381</v>
      </c>
      <c r="E148" s="30" t="s">
        <v>14</v>
      </c>
      <c r="F148" s="31">
        <v>0</v>
      </c>
      <c r="G148" s="31">
        <v>0</v>
      </c>
      <c r="H148" s="31">
        <v>0</v>
      </c>
      <c r="I148" s="31">
        <v>9</v>
      </c>
      <c r="J148" s="31">
        <f t="shared" si="12"/>
        <v>9</v>
      </c>
      <c r="K148" s="28">
        <v>348000</v>
      </c>
      <c r="L148" s="29">
        <v>0.81</v>
      </c>
      <c r="M148" s="31">
        <f t="shared" si="13"/>
        <v>281880</v>
      </c>
      <c r="N148" s="28">
        <f t="shared" si="14"/>
        <v>66119.999999999985</v>
      </c>
    </row>
    <row r="149" spans="1:15" x14ac:dyDescent="0.35">
      <c r="A149">
        <v>731308</v>
      </c>
      <c r="B149" t="s">
        <v>138</v>
      </c>
      <c r="C149" t="s">
        <v>92</v>
      </c>
      <c r="D149" t="s">
        <v>137</v>
      </c>
      <c r="E149" s="30" t="s">
        <v>14</v>
      </c>
      <c r="F149" s="31">
        <v>0</v>
      </c>
      <c r="G149" s="31">
        <v>0</v>
      </c>
      <c r="H149" s="31">
        <v>0</v>
      </c>
      <c r="I149" s="31">
        <v>2</v>
      </c>
      <c r="J149" s="31">
        <f t="shared" si="12"/>
        <v>2</v>
      </c>
      <c r="K149" s="28">
        <v>5448000</v>
      </c>
      <c r="L149" s="29">
        <v>0.08</v>
      </c>
      <c r="M149" s="31">
        <f t="shared" si="13"/>
        <v>435840</v>
      </c>
      <c r="N149" s="28">
        <f t="shared" si="14"/>
        <v>5012160</v>
      </c>
    </row>
    <row r="150" spans="1:15" x14ac:dyDescent="0.35">
      <c r="A150">
        <v>740036001</v>
      </c>
      <c r="B150" t="s">
        <v>1755</v>
      </c>
      <c r="C150" t="s">
        <v>63</v>
      </c>
      <c r="D150" t="s">
        <v>343</v>
      </c>
      <c r="E150" s="30" t="s">
        <v>14</v>
      </c>
      <c r="F150" s="31">
        <v>0</v>
      </c>
      <c r="G150" s="31">
        <v>0</v>
      </c>
      <c r="H150" s="31">
        <v>1</v>
      </c>
      <c r="I150" s="31">
        <v>2</v>
      </c>
      <c r="J150" s="31">
        <f t="shared" si="12"/>
        <v>3</v>
      </c>
      <c r="K150" s="28">
        <v>998000</v>
      </c>
      <c r="L150" s="29">
        <v>0.45</v>
      </c>
      <c r="M150" s="31">
        <f t="shared" si="13"/>
        <v>449100</v>
      </c>
      <c r="N150" s="28">
        <f t="shared" si="14"/>
        <v>548900</v>
      </c>
    </row>
    <row r="151" spans="1:15" x14ac:dyDescent="0.35">
      <c r="A151">
        <v>740036002</v>
      </c>
      <c r="B151" t="s">
        <v>1756</v>
      </c>
      <c r="C151" t="s">
        <v>63</v>
      </c>
      <c r="D151" t="s">
        <v>343</v>
      </c>
      <c r="E151" s="30" t="s">
        <v>14</v>
      </c>
      <c r="F151" s="31">
        <v>0</v>
      </c>
      <c r="G151" s="31">
        <v>0</v>
      </c>
      <c r="H151" s="31">
        <v>2</v>
      </c>
      <c r="I151" s="31">
        <v>5</v>
      </c>
      <c r="J151" s="31">
        <f t="shared" si="12"/>
        <v>7</v>
      </c>
      <c r="K151" s="28">
        <v>998000</v>
      </c>
      <c r="L151" s="29">
        <v>0.45</v>
      </c>
      <c r="M151" s="31">
        <f t="shared" si="13"/>
        <v>449100</v>
      </c>
      <c r="N151" s="28">
        <f t="shared" si="14"/>
        <v>548900</v>
      </c>
    </row>
    <row r="152" spans="1:15" x14ac:dyDescent="0.35">
      <c r="A152">
        <v>739506001</v>
      </c>
      <c r="B152" t="s">
        <v>616</v>
      </c>
      <c r="C152" t="s">
        <v>617</v>
      </c>
      <c r="D152" t="s">
        <v>343</v>
      </c>
      <c r="E152" s="30" t="s">
        <v>14</v>
      </c>
      <c r="F152" s="31">
        <v>0</v>
      </c>
      <c r="G152" s="31">
        <v>0</v>
      </c>
      <c r="H152" s="31">
        <v>0</v>
      </c>
      <c r="I152" s="31">
        <v>12</v>
      </c>
      <c r="J152" s="31">
        <f t="shared" si="12"/>
        <v>12</v>
      </c>
      <c r="K152" s="28">
        <v>348000</v>
      </c>
      <c r="L152" s="29">
        <v>0.45</v>
      </c>
      <c r="M152" s="31">
        <f t="shared" si="13"/>
        <v>156600</v>
      </c>
      <c r="N152" s="28">
        <f t="shared" si="14"/>
        <v>191400.00000000003</v>
      </c>
      <c r="O152" s="28">
        <v>313200</v>
      </c>
    </row>
    <row r="153" spans="1:15" x14ac:dyDescent="0.35">
      <c r="A153">
        <v>739506002</v>
      </c>
      <c r="B153" t="s">
        <v>618</v>
      </c>
      <c r="C153" t="s">
        <v>617</v>
      </c>
      <c r="D153" t="s">
        <v>343</v>
      </c>
      <c r="E153" s="30" t="s">
        <v>14</v>
      </c>
      <c r="F153" s="31">
        <v>0</v>
      </c>
      <c r="G153" s="31">
        <v>0</v>
      </c>
      <c r="H153" s="31">
        <v>0</v>
      </c>
      <c r="I153" s="31">
        <v>11</v>
      </c>
      <c r="J153" s="31">
        <f t="shared" si="12"/>
        <v>11</v>
      </c>
      <c r="K153" s="28">
        <v>348000</v>
      </c>
      <c r="L153" s="29">
        <v>0.45</v>
      </c>
      <c r="M153" s="31">
        <f t="shared" si="13"/>
        <v>156600</v>
      </c>
      <c r="N153" s="28">
        <f t="shared" si="14"/>
        <v>191400.00000000003</v>
      </c>
      <c r="O153" s="28">
        <v>313200</v>
      </c>
    </row>
    <row r="154" spans="1:15" x14ac:dyDescent="0.35">
      <c r="A154">
        <v>739909001</v>
      </c>
      <c r="B154" t="s">
        <v>620</v>
      </c>
      <c r="C154" t="s">
        <v>617</v>
      </c>
      <c r="D154" t="s">
        <v>343</v>
      </c>
      <c r="E154" s="30" t="s">
        <v>14</v>
      </c>
      <c r="F154" s="31">
        <v>0</v>
      </c>
      <c r="G154" s="31">
        <v>0</v>
      </c>
      <c r="H154" s="31">
        <v>0</v>
      </c>
      <c r="I154" s="31">
        <v>1</v>
      </c>
      <c r="J154" s="31">
        <f t="shared" si="12"/>
        <v>1</v>
      </c>
      <c r="K154" s="28">
        <v>398000</v>
      </c>
      <c r="L154" s="29">
        <v>0.81</v>
      </c>
      <c r="M154" s="31">
        <f t="shared" si="13"/>
        <v>322380</v>
      </c>
      <c r="N154" s="28">
        <f t="shared" si="14"/>
        <v>75619.999999999985</v>
      </c>
      <c r="O154" s="28">
        <v>358200</v>
      </c>
    </row>
    <row r="155" spans="1:15" x14ac:dyDescent="0.35">
      <c r="A155">
        <v>739909002</v>
      </c>
      <c r="B155" t="s">
        <v>621</v>
      </c>
      <c r="C155" t="s">
        <v>617</v>
      </c>
      <c r="D155" t="s">
        <v>343</v>
      </c>
      <c r="E155" s="30" t="s">
        <v>14</v>
      </c>
      <c r="F155" s="31">
        <v>0</v>
      </c>
      <c r="G155" s="31">
        <v>0</v>
      </c>
      <c r="H155" s="31">
        <v>0</v>
      </c>
      <c r="I155" s="31">
        <v>2</v>
      </c>
      <c r="J155" s="31">
        <f t="shared" si="12"/>
        <v>2</v>
      </c>
      <c r="K155" s="28">
        <v>398000</v>
      </c>
      <c r="L155" s="29">
        <v>0.81</v>
      </c>
      <c r="M155" s="31">
        <f t="shared" si="13"/>
        <v>322380</v>
      </c>
      <c r="N155" s="28">
        <f t="shared" si="14"/>
        <v>75619.999999999985</v>
      </c>
      <c r="O155" s="28">
        <v>358200</v>
      </c>
    </row>
    <row r="156" spans="1:15" x14ac:dyDescent="0.35">
      <c r="A156">
        <v>733167001</v>
      </c>
      <c r="B156" t="s">
        <v>342</v>
      </c>
      <c r="C156" t="s">
        <v>92</v>
      </c>
      <c r="D156" t="s">
        <v>343</v>
      </c>
      <c r="E156" s="30" t="s">
        <v>14</v>
      </c>
      <c r="F156" s="31">
        <v>0</v>
      </c>
      <c r="G156" s="31">
        <v>0</v>
      </c>
      <c r="H156" s="31">
        <v>0</v>
      </c>
      <c r="I156" s="31">
        <v>1</v>
      </c>
      <c r="J156" s="31">
        <f t="shared" si="12"/>
        <v>1</v>
      </c>
      <c r="K156" s="28">
        <v>1298000</v>
      </c>
      <c r="L156" s="29">
        <v>0.45</v>
      </c>
      <c r="M156" s="31">
        <f t="shared" si="13"/>
        <v>584100</v>
      </c>
      <c r="N156" s="28">
        <f t="shared" si="14"/>
        <v>713900</v>
      </c>
    </row>
    <row r="157" spans="1:15" x14ac:dyDescent="0.35">
      <c r="A157">
        <v>737852002</v>
      </c>
      <c r="B157" t="s">
        <v>345</v>
      </c>
      <c r="C157" t="s">
        <v>92</v>
      </c>
      <c r="D157" t="s">
        <v>343</v>
      </c>
      <c r="E157" s="30" t="s">
        <v>14</v>
      </c>
      <c r="F157" s="31">
        <v>0</v>
      </c>
      <c r="G157" s="31">
        <v>0</v>
      </c>
      <c r="H157" s="31">
        <v>0</v>
      </c>
      <c r="I157" s="31">
        <v>1</v>
      </c>
      <c r="J157" s="31">
        <f t="shared" si="12"/>
        <v>1</v>
      </c>
      <c r="K157" s="28">
        <v>2298000</v>
      </c>
      <c r="L157" s="29">
        <v>0.45</v>
      </c>
      <c r="M157" s="31">
        <f t="shared" si="13"/>
        <v>1034100</v>
      </c>
      <c r="N157" s="28">
        <f t="shared" si="14"/>
        <v>1263900</v>
      </c>
    </row>
    <row r="158" spans="1:15" x14ac:dyDescent="0.35">
      <c r="A158">
        <v>737852004</v>
      </c>
      <c r="B158" t="s">
        <v>346</v>
      </c>
      <c r="C158" t="s">
        <v>92</v>
      </c>
      <c r="D158" t="s">
        <v>343</v>
      </c>
      <c r="E158" s="30" t="s">
        <v>14</v>
      </c>
      <c r="F158" s="31">
        <v>0</v>
      </c>
      <c r="G158" s="31">
        <v>0</v>
      </c>
      <c r="H158" s="31">
        <v>0</v>
      </c>
      <c r="I158" s="31">
        <v>2</v>
      </c>
      <c r="J158" s="31">
        <f t="shared" si="12"/>
        <v>2</v>
      </c>
      <c r="K158" s="28">
        <v>2780000</v>
      </c>
      <c r="L158" s="29">
        <v>0.45</v>
      </c>
      <c r="M158" s="31">
        <f t="shared" si="13"/>
        <v>1251000</v>
      </c>
      <c r="N158" s="28">
        <f t="shared" si="14"/>
        <v>1529000.0000000002</v>
      </c>
    </row>
    <row r="159" spans="1:15" x14ac:dyDescent="0.35">
      <c r="A159">
        <v>737855001</v>
      </c>
      <c r="B159" t="s">
        <v>344</v>
      </c>
      <c r="C159" t="s">
        <v>92</v>
      </c>
      <c r="D159" t="s">
        <v>343</v>
      </c>
      <c r="E159" s="30" t="s">
        <v>14</v>
      </c>
      <c r="F159" s="31">
        <v>0</v>
      </c>
      <c r="G159" s="31">
        <v>0</v>
      </c>
      <c r="H159" s="31">
        <v>0</v>
      </c>
      <c r="I159" s="31">
        <v>7</v>
      </c>
      <c r="J159" s="31">
        <f t="shared" si="12"/>
        <v>7</v>
      </c>
      <c r="K159" s="28">
        <v>248000</v>
      </c>
      <c r="L159" s="29">
        <v>0.45</v>
      </c>
      <c r="M159" s="31">
        <f t="shared" si="13"/>
        <v>111600</v>
      </c>
      <c r="N159" s="28">
        <f t="shared" si="14"/>
        <v>136400</v>
      </c>
    </row>
    <row r="160" spans="1:15" x14ac:dyDescent="0.35">
      <c r="A160">
        <v>739211001</v>
      </c>
      <c r="B160" t="s">
        <v>1757</v>
      </c>
      <c r="C160" t="s">
        <v>92</v>
      </c>
      <c r="D160" t="s">
        <v>343</v>
      </c>
      <c r="E160" s="30">
        <v>0</v>
      </c>
      <c r="F160" s="31">
        <v>0</v>
      </c>
      <c r="G160" s="31">
        <v>0</v>
      </c>
      <c r="H160" s="31">
        <v>1</v>
      </c>
      <c r="I160" s="31">
        <v>0</v>
      </c>
      <c r="J160" s="31">
        <f t="shared" si="12"/>
        <v>1</v>
      </c>
      <c r="K160" s="28">
        <v>1298000</v>
      </c>
      <c r="L160" s="29">
        <v>0.17</v>
      </c>
      <c r="M160" s="31">
        <f t="shared" si="13"/>
        <v>220660.00000000003</v>
      </c>
      <c r="N160" s="28">
        <f t="shared" si="14"/>
        <v>1077340</v>
      </c>
    </row>
    <row r="161" spans="1:15" x14ac:dyDescent="0.35">
      <c r="A161">
        <v>739211003</v>
      </c>
      <c r="B161" t="s">
        <v>349</v>
      </c>
      <c r="C161" t="s">
        <v>92</v>
      </c>
      <c r="D161" t="s">
        <v>343</v>
      </c>
      <c r="E161" s="30" t="s">
        <v>14</v>
      </c>
      <c r="F161" s="31">
        <v>0</v>
      </c>
      <c r="G161" s="31">
        <v>0</v>
      </c>
      <c r="H161" s="31">
        <v>0</v>
      </c>
      <c r="I161" s="31">
        <v>1</v>
      </c>
      <c r="J161" s="31">
        <f t="shared" si="12"/>
        <v>1</v>
      </c>
      <c r="K161" s="28">
        <v>1298000</v>
      </c>
      <c r="L161" s="29">
        <v>0.17</v>
      </c>
      <c r="M161" s="31">
        <f t="shared" si="13"/>
        <v>220660.00000000003</v>
      </c>
      <c r="N161" s="28">
        <f t="shared" si="14"/>
        <v>1077340</v>
      </c>
    </row>
    <row r="162" spans="1:15" x14ac:dyDescent="0.35">
      <c r="A162">
        <v>739211004</v>
      </c>
      <c r="B162" t="s">
        <v>1758</v>
      </c>
      <c r="C162" t="s">
        <v>92</v>
      </c>
      <c r="D162" t="s">
        <v>343</v>
      </c>
      <c r="E162" s="30">
        <v>0</v>
      </c>
      <c r="F162" s="31">
        <v>0</v>
      </c>
      <c r="G162" s="31">
        <v>91</v>
      </c>
      <c r="H162" s="31">
        <v>12</v>
      </c>
      <c r="I162" s="31">
        <v>58</v>
      </c>
      <c r="J162" s="31">
        <f t="shared" si="12"/>
        <v>161</v>
      </c>
      <c r="K162" s="28">
        <v>1298000</v>
      </c>
      <c r="L162" s="29">
        <v>0.17</v>
      </c>
      <c r="M162" s="31">
        <f t="shared" si="13"/>
        <v>220660.00000000003</v>
      </c>
      <c r="N162" s="28">
        <f t="shared" si="14"/>
        <v>1077340</v>
      </c>
    </row>
    <row r="163" spans="1:15" x14ac:dyDescent="0.35">
      <c r="A163">
        <v>739211005</v>
      </c>
      <c r="B163" t="s">
        <v>1759</v>
      </c>
      <c r="C163" t="s">
        <v>92</v>
      </c>
      <c r="D163" t="s">
        <v>343</v>
      </c>
      <c r="E163" s="30">
        <v>0</v>
      </c>
      <c r="F163" s="31">
        <v>0</v>
      </c>
      <c r="G163" s="31">
        <v>1</v>
      </c>
      <c r="H163" s="31">
        <v>1</v>
      </c>
      <c r="I163" s="31">
        <v>3</v>
      </c>
      <c r="J163" s="31">
        <f t="shared" si="12"/>
        <v>5</v>
      </c>
      <c r="K163" s="28">
        <v>1298000</v>
      </c>
      <c r="L163" s="29">
        <v>0.17</v>
      </c>
      <c r="M163" s="31">
        <f t="shared" si="13"/>
        <v>220660.00000000003</v>
      </c>
      <c r="N163" s="28">
        <f t="shared" si="14"/>
        <v>1077340</v>
      </c>
    </row>
    <row r="164" spans="1:15" x14ac:dyDescent="0.35">
      <c r="A164">
        <v>739211006</v>
      </c>
      <c r="B164" t="s">
        <v>1760</v>
      </c>
      <c r="C164" t="s">
        <v>92</v>
      </c>
      <c r="D164" t="s">
        <v>343</v>
      </c>
      <c r="E164" s="30">
        <v>0</v>
      </c>
      <c r="F164" s="31">
        <v>0</v>
      </c>
      <c r="G164" s="31">
        <v>0</v>
      </c>
      <c r="H164" s="31">
        <v>1</v>
      </c>
      <c r="I164" s="31">
        <v>2</v>
      </c>
      <c r="J164" s="31">
        <f t="shared" si="12"/>
        <v>3</v>
      </c>
      <c r="K164" s="28">
        <v>1298000</v>
      </c>
      <c r="L164" s="29">
        <v>0.17</v>
      </c>
      <c r="M164" s="31">
        <f t="shared" si="13"/>
        <v>220660.00000000003</v>
      </c>
      <c r="N164" s="28">
        <f t="shared" si="14"/>
        <v>1077340</v>
      </c>
    </row>
    <row r="165" spans="1:15" x14ac:dyDescent="0.35">
      <c r="A165">
        <v>739211007</v>
      </c>
      <c r="B165" t="s">
        <v>1761</v>
      </c>
      <c r="C165" t="s">
        <v>92</v>
      </c>
      <c r="D165" t="s">
        <v>343</v>
      </c>
      <c r="E165" s="30">
        <v>0</v>
      </c>
      <c r="F165" s="31">
        <v>0</v>
      </c>
      <c r="G165" s="31">
        <v>1</v>
      </c>
      <c r="H165" s="31">
        <v>1</v>
      </c>
      <c r="I165" s="31">
        <v>2</v>
      </c>
      <c r="J165" s="31">
        <f t="shared" si="12"/>
        <v>4</v>
      </c>
      <c r="K165" s="28">
        <v>1298000</v>
      </c>
      <c r="L165" s="29">
        <v>0.17</v>
      </c>
      <c r="M165" s="31">
        <f t="shared" si="13"/>
        <v>220660.00000000003</v>
      </c>
      <c r="N165" s="28">
        <f t="shared" si="14"/>
        <v>1077340</v>
      </c>
    </row>
    <row r="166" spans="1:15" x14ac:dyDescent="0.35">
      <c r="A166">
        <v>739243001</v>
      </c>
      <c r="B166" t="s">
        <v>347</v>
      </c>
      <c r="C166" t="s">
        <v>92</v>
      </c>
      <c r="D166" t="s">
        <v>343</v>
      </c>
      <c r="E166" s="30" t="s">
        <v>14</v>
      </c>
      <c r="F166" s="31">
        <v>0</v>
      </c>
      <c r="G166" s="31">
        <v>0</v>
      </c>
      <c r="H166" s="31">
        <v>0</v>
      </c>
      <c r="I166" s="31">
        <v>1</v>
      </c>
      <c r="J166" s="31">
        <f t="shared" si="12"/>
        <v>1</v>
      </c>
      <c r="K166" s="28">
        <v>1298000</v>
      </c>
      <c r="L166" s="29">
        <v>0.45</v>
      </c>
      <c r="M166" s="31">
        <f t="shared" si="13"/>
        <v>584100</v>
      </c>
      <c r="N166" s="28">
        <f t="shared" si="14"/>
        <v>713900</v>
      </c>
    </row>
    <row r="167" spans="1:15" x14ac:dyDescent="0.35">
      <c r="A167">
        <v>739243003</v>
      </c>
      <c r="B167" t="s">
        <v>348</v>
      </c>
      <c r="C167" t="s">
        <v>92</v>
      </c>
      <c r="D167" t="s">
        <v>343</v>
      </c>
      <c r="E167" s="30" t="s">
        <v>14</v>
      </c>
      <c r="F167" s="31">
        <v>0</v>
      </c>
      <c r="G167" s="31">
        <v>0</v>
      </c>
      <c r="H167" s="31">
        <v>0</v>
      </c>
      <c r="I167" s="31">
        <v>1</v>
      </c>
      <c r="J167" s="31">
        <f t="shared" si="12"/>
        <v>1</v>
      </c>
      <c r="K167" s="28">
        <v>1298000</v>
      </c>
      <c r="L167" s="29">
        <v>0.45</v>
      </c>
      <c r="M167" s="31">
        <f t="shared" si="13"/>
        <v>584100</v>
      </c>
      <c r="N167" s="28">
        <f t="shared" si="14"/>
        <v>713900</v>
      </c>
    </row>
    <row r="168" spans="1:15" x14ac:dyDescent="0.35">
      <c r="A168">
        <v>700996</v>
      </c>
      <c r="B168" t="s">
        <v>1762</v>
      </c>
      <c r="C168" t="s">
        <v>1716</v>
      </c>
      <c r="D168" t="s">
        <v>623</v>
      </c>
      <c r="E168" s="30" t="s">
        <v>14</v>
      </c>
      <c r="F168" s="31">
        <v>0</v>
      </c>
      <c r="G168" s="31">
        <v>0</v>
      </c>
      <c r="H168" s="31">
        <v>0</v>
      </c>
      <c r="I168" s="31">
        <v>3</v>
      </c>
      <c r="J168" s="31">
        <f t="shared" si="12"/>
        <v>3</v>
      </c>
      <c r="K168" s="28">
        <v>118000</v>
      </c>
      <c r="L168" s="29">
        <v>0.81</v>
      </c>
      <c r="M168" s="31">
        <f t="shared" si="13"/>
        <v>95580</v>
      </c>
      <c r="N168" s="28">
        <f t="shared" si="14"/>
        <v>22419.999999999993</v>
      </c>
    </row>
    <row r="169" spans="1:15" x14ac:dyDescent="0.35">
      <c r="A169">
        <v>701003</v>
      </c>
      <c r="B169" t="s">
        <v>1763</v>
      </c>
      <c r="C169" t="s">
        <v>1716</v>
      </c>
      <c r="D169" t="s">
        <v>623</v>
      </c>
      <c r="E169" s="30" t="s">
        <v>14</v>
      </c>
      <c r="F169" s="31">
        <v>0</v>
      </c>
      <c r="G169" s="31">
        <v>0</v>
      </c>
      <c r="H169" s="31">
        <v>0</v>
      </c>
      <c r="I169" s="31">
        <v>2</v>
      </c>
      <c r="J169" s="31">
        <f t="shared" si="12"/>
        <v>2</v>
      </c>
      <c r="K169" s="28">
        <v>89000</v>
      </c>
      <c r="L169" s="29">
        <v>0.81</v>
      </c>
      <c r="M169" s="31">
        <f t="shared" si="13"/>
        <v>72090</v>
      </c>
      <c r="N169" s="28">
        <f t="shared" si="14"/>
        <v>16909.999999999996</v>
      </c>
    </row>
    <row r="170" spans="1:15" x14ac:dyDescent="0.35">
      <c r="A170">
        <v>716111</v>
      </c>
      <c r="B170" t="s">
        <v>1764</v>
      </c>
      <c r="C170" t="s">
        <v>1716</v>
      </c>
      <c r="D170" t="s">
        <v>623</v>
      </c>
      <c r="E170" s="30" t="s">
        <v>14</v>
      </c>
      <c r="F170" s="31">
        <v>0</v>
      </c>
      <c r="G170" s="31">
        <v>0</v>
      </c>
      <c r="H170" s="31">
        <v>0</v>
      </c>
      <c r="I170" s="31">
        <v>14</v>
      </c>
      <c r="J170" s="31">
        <f t="shared" si="12"/>
        <v>14</v>
      </c>
      <c r="K170" s="28">
        <v>128000</v>
      </c>
      <c r="L170" s="29">
        <v>0.81</v>
      </c>
      <c r="M170" s="31">
        <f t="shared" si="13"/>
        <v>103680</v>
      </c>
      <c r="N170" s="28">
        <f t="shared" si="14"/>
        <v>24319.999999999993</v>
      </c>
    </row>
    <row r="171" spans="1:15" x14ac:dyDescent="0.35">
      <c r="A171">
        <v>719535</v>
      </c>
      <c r="B171" t="s">
        <v>1765</v>
      </c>
      <c r="C171" t="s">
        <v>1716</v>
      </c>
      <c r="D171" t="s">
        <v>623</v>
      </c>
      <c r="E171" s="30" t="s">
        <v>14</v>
      </c>
      <c r="F171" s="31">
        <v>0</v>
      </c>
      <c r="G171" s="31">
        <v>0</v>
      </c>
      <c r="H171" s="31">
        <v>0</v>
      </c>
      <c r="I171" s="31">
        <v>4</v>
      </c>
      <c r="J171" s="31">
        <f t="shared" si="12"/>
        <v>4</v>
      </c>
      <c r="K171" s="28">
        <v>148000</v>
      </c>
      <c r="L171" s="29">
        <v>0.81</v>
      </c>
      <c r="M171" s="31">
        <f t="shared" si="13"/>
        <v>119880.00000000001</v>
      </c>
      <c r="N171" s="28">
        <f t="shared" si="14"/>
        <v>28119.999999999993</v>
      </c>
    </row>
    <row r="172" spans="1:15" x14ac:dyDescent="0.35">
      <c r="A172">
        <v>201655</v>
      </c>
      <c r="B172" t="s">
        <v>622</v>
      </c>
      <c r="C172" t="s">
        <v>368</v>
      </c>
      <c r="D172" t="s">
        <v>623</v>
      </c>
      <c r="E172" s="30" t="s">
        <v>14</v>
      </c>
      <c r="F172" s="31">
        <v>0</v>
      </c>
      <c r="G172" s="31">
        <v>0</v>
      </c>
      <c r="H172" s="31">
        <v>0</v>
      </c>
      <c r="I172" s="31">
        <v>7</v>
      </c>
      <c r="J172" s="31">
        <f t="shared" si="12"/>
        <v>7</v>
      </c>
      <c r="K172" s="28">
        <v>350000</v>
      </c>
      <c r="L172" s="29">
        <v>0.81</v>
      </c>
      <c r="M172" s="31">
        <f t="shared" si="13"/>
        <v>283500</v>
      </c>
      <c r="N172" s="28">
        <f t="shared" si="14"/>
        <v>66499.999999999985</v>
      </c>
      <c r="O172" s="28">
        <v>280000</v>
      </c>
    </row>
    <row r="173" spans="1:15" x14ac:dyDescent="0.35">
      <c r="A173">
        <v>201656</v>
      </c>
      <c r="B173" t="s">
        <v>624</v>
      </c>
      <c r="C173" t="s">
        <v>368</v>
      </c>
      <c r="D173" t="s">
        <v>623</v>
      </c>
      <c r="E173" s="30" t="s">
        <v>14</v>
      </c>
      <c r="F173" s="31">
        <v>0</v>
      </c>
      <c r="G173" s="31">
        <v>0</v>
      </c>
      <c r="H173" s="31">
        <v>0</v>
      </c>
      <c r="I173" s="31">
        <v>3</v>
      </c>
      <c r="J173" s="31">
        <f t="shared" si="12"/>
        <v>3</v>
      </c>
      <c r="K173" s="28">
        <v>350000</v>
      </c>
      <c r="L173" s="29">
        <v>0.81</v>
      </c>
      <c r="M173" s="31">
        <f t="shared" si="13"/>
        <v>283500</v>
      </c>
      <c r="N173" s="28">
        <f t="shared" si="14"/>
        <v>66499.999999999985</v>
      </c>
      <c r="O173" s="28">
        <v>280000</v>
      </c>
    </row>
    <row r="174" spans="1:15" x14ac:dyDescent="0.35">
      <c r="A174">
        <v>201657</v>
      </c>
      <c r="B174" t="s">
        <v>625</v>
      </c>
      <c r="C174" t="s">
        <v>368</v>
      </c>
      <c r="D174" t="s">
        <v>623</v>
      </c>
      <c r="E174" s="30" t="s">
        <v>14</v>
      </c>
      <c r="F174" s="31">
        <v>0</v>
      </c>
      <c r="G174" s="31">
        <v>0</v>
      </c>
      <c r="H174" s="31">
        <v>0</v>
      </c>
      <c r="I174" s="31">
        <v>4</v>
      </c>
      <c r="J174" s="31">
        <f t="shared" si="12"/>
        <v>4</v>
      </c>
      <c r="K174" s="28">
        <v>385000</v>
      </c>
      <c r="L174" s="29">
        <v>0.81</v>
      </c>
      <c r="M174" s="31">
        <f t="shared" si="13"/>
        <v>311850</v>
      </c>
      <c r="N174" s="28">
        <f t="shared" si="14"/>
        <v>73149.999999999985</v>
      </c>
      <c r="O174" s="28">
        <v>308000</v>
      </c>
    </row>
    <row r="175" spans="1:15" x14ac:dyDescent="0.35">
      <c r="A175">
        <v>700535</v>
      </c>
      <c r="B175" t="s">
        <v>1766</v>
      </c>
      <c r="C175" t="s">
        <v>368</v>
      </c>
      <c r="D175" t="s">
        <v>623</v>
      </c>
      <c r="E175" s="30" t="s">
        <v>14</v>
      </c>
      <c r="F175" s="31">
        <v>0</v>
      </c>
      <c r="G175" s="31">
        <v>0</v>
      </c>
      <c r="H175" s="31">
        <v>0</v>
      </c>
      <c r="I175" s="31">
        <v>19</v>
      </c>
      <c r="J175" s="31">
        <f t="shared" si="12"/>
        <v>19</v>
      </c>
      <c r="K175" s="28">
        <v>10000</v>
      </c>
      <c r="L175" s="29">
        <v>0.81</v>
      </c>
      <c r="M175" s="31">
        <f t="shared" si="13"/>
        <v>8100.0000000000009</v>
      </c>
      <c r="N175" s="28">
        <f t="shared" si="14"/>
        <v>1899.9999999999995</v>
      </c>
    </row>
    <row r="176" spans="1:15" x14ac:dyDescent="0.35">
      <c r="A176">
        <v>700995</v>
      </c>
      <c r="B176" t="s">
        <v>626</v>
      </c>
      <c r="C176" t="s">
        <v>368</v>
      </c>
      <c r="D176" t="s">
        <v>623</v>
      </c>
      <c r="E176" s="30" t="s">
        <v>14</v>
      </c>
      <c r="F176" s="31">
        <v>0</v>
      </c>
      <c r="G176" s="31">
        <v>0</v>
      </c>
      <c r="H176" s="31">
        <v>0</v>
      </c>
      <c r="I176" s="31">
        <v>1</v>
      </c>
      <c r="J176" s="31">
        <f t="shared" si="12"/>
        <v>1</v>
      </c>
      <c r="K176" s="28">
        <v>89000</v>
      </c>
      <c r="L176" s="29">
        <v>0.81</v>
      </c>
      <c r="M176" s="31">
        <f t="shared" si="13"/>
        <v>72090</v>
      </c>
      <c r="N176" s="28">
        <f t="shared" si="14"/>
        <v>16909.999999999996</v>
      </c>
      <c r="O176" s="28">
        <v>44500</v>
      </c>
    </row>
    <row r="177" spans="1:15" x14ac:dyDescent="0.35">
      <c r="A177">
        <v>707937</v>
      </c>
      <c r="B177" t="s">
        <v>627</v>
      </c>
      <c r="C177" t="s">
        <v>368</v>
      </c>
      <c r="D177" t="s">
        <v>623</v>
      </c>
      <c r="E177" s="30" t="s">
        <v>14</v>
      </c>
      <c r="F177" s="31">
        <v>0</v>
      </c>
      <c r="G177" s="31">
        <v>0</v>
      </c>
      <c r="H177" s="31">
        <v>0</v>
      </c>
      <c r="I177" s="31">
        <v>4</v>
      </c>
      <c r="J177" s="31">
        <f t="shared" si="12"/>
        <v>4</v>
      </c>
      <c r="K177" s="28">
        <v>45000</v>
      </c>
      <c r="L177" s="29">
        <v>0.81</v>
      </c>
      <c r="M177" s="31">
        <f t="shared" si="13"/>
        <v>36450</v>
      </c>
      <c r="N177" s="28">
        <f t="shared" si="14"/>
        <v>8549.9999999999982</v>
      </c>
      <c r="O177" s="28">
        <v>22500</v>
      </c>
    </row>
    <row r="178" spans="1:15" x14ac:dyDescent="0.35">
      <c r="A178">
        <v>721850</v>
      </c>
      <c r="B178" t="s">
        <v>628</v>
      </c>
      <c r="C178" t="s">
        <v>368</v>
      </c>
      <c r="D178" t="s">
        <v>623</v>
      </c>
      <c r="E178" s="30" t="s">
        <v>14</v>
      </c>
      <c r="F178" s="31">
        <v>0</v>
      </c>
      <c r="G178" s="31">
        <v>0</v>
      </c>
      <c r="H178" s="31">
        <v>0</v>
      </c>
      <c r="I178" s="31">
        <v>213</v>
      </c>
      <c r="J178" s="31">
        <f t="shared" si="12"/>
        <v>213</v>
      </c>
      <c r="K178" s="28">
        <v>228000</v>
      </c>
      <c r="L178" s="29">
        <v>0.81</v>
      </c>
      <c r="M178" s="31">
        <f t="shared" si="13"/>
        <v>184680</v>
      </c>
      <c r="N178" s="28">
        <f t="shared" si="14"/>
        <v>43319.999999999985</v>
      </c>
      <c r="O178" s="28">
        <v>114000</v>
      </c>
    </row>
    <row r="179" spans="1:15" x14ac:dyDescent="0.35">
      <c r="A179">
        <v>721899</v>
      </c>
      <c r="B179" t="s">
        <v>1767</v>
      </c>
      <c r="C179" t="s">
        <v>368</v>
      </c>
      <c r="D179" t="s">
        <v>623</v>
      </c>
      <c r="E179" s="30" t="s">
        <v>14</v>
      </c>
      <c r="F179" s="31">
        <v>0</v>
      </c>
      <c r="G179" s="31">
        <v>0</v>
      </c>
      <c r="H179" s="31">
        <v>0</v>
      </c>
      <c r="I179" s="31">
        <v>34</v>
      </c>
      <c r="J179" s="31">
        <f t="shared" si="12"/>
        <v>34</v>
      </c>
      <c r="K179" s="28">
        <v>49000</v>
      </c>
      <c r="L179" s="29">
        <v>0.81</v>
      </c>
      <c r="M179" s="31">
        <f t="shared" si="13"/>
        <v>39690</v>
      </c>
      <c r="N179" s="28">
        <f t="shared" si="14"/>
        <v>9309.9999999999982</v>
      </c>
    </row>
    <row r="180" spans="1:15" x14ac:dyDescent="0.35">
      <c r="A180">
        <v>726307</v>
      </c>
      <c r="B180" t="s">
        <v>629</v>
      </c>
      <c r="C180" t="s">
        <v>368</v>
      </c>
      <c r="D180" t="s">
        <v>623</v>
      </c>
      <c r="E180" s="30" t="s">
        <v>14</v>
      </c>
      <c r="F180" s="31">
        <v>0</v>
      </c>
      <c r="G180" s="31">
        <v>0</v>
      </c>
      <c r="H180" s="31">
        <v>0</v>
      </c>
      <c r="I180" s="31">
        <v>147</v>
      </c>
      <c r="J180" s="31">
        <f t="shared" si="12"/>
        <v>147</v>
      </c>
      <c r="K180" s="28">
        <v>128000</v>
      </c>
      <c r="L180" s="29">
        <v>0.81</v>
      </c>
      <c r="M180" s="31">
        <f t="shared" si="13"/>
        <v>103680</v>
      </c>
      <c r="N180" s="28">
        <f t="shared" si="14"/>
        <v>24319.999999999993</v>
      </c>
      <c r="O180" s="28">
        <v>88000</v>
      </c>
    </row>
    <row r="181" spans="1:15" x14ac:dyDescent="0.35">
      <c r="A181">
        <v>736517</v>
      </c>
      <c r="B181" t="s">
        <v>1768</v>
      </c>
      <c r="C181" t="s">
        <v>368</v>
      </c>
      <c r="D181" t="s">
        <v>623</v>
      </c>
      <c r="E181" s="30" t="s">
        <v>14</v>
      </c>
      <c r="F181" s="31">
        <v>0</v>
      </c>
      <c r="G181" s="31">
        <v>0</v>
      </c>
      <c r="H181" s="31">
        <v>1</v>
      </c>
      <c r="I181" s="31">
        <v>34</v>
      </c>
      <c r="J181" s="31">
        <f t="shared" si="12"/>
        <v>35</v>
      </c>
      <c r="K181" s="28">
        <v>49000</v>
      </c>
      <c r="L181" s="29">
        <v>0.81</v>
      </c>
      <c r="M181" s="31">
        <f t="shared" si="13"/>
        <v>39690</v>
      </c>
      <c r="N181" s="28">
        <f t="shared" si="14"/>
        <v>9309.9999999999982</v>
      </c>
    </row>
    <row r="182" spans="1:15" x14ac:dyDescent="0.35">
      <c r="A182">
        <v>736518</v>
      </c>
      <c r="B182" t="s">
        <v>1769</v>
      </c>
      <c r="C182" t="s">
        <v>368</v>
      </c>
      <c r="D182" t="s">
        <v>623</v>
      </c>
      <c r="E182" s="30" t="s">
        <v>14</v>
      </c>
      <c r="F182" s="31">
        <v>0</v>
      </c>
      <c r="G182" s="31">
        <v>0</v>
      </c>
      <c r="H182" s="31">
        <v>7</v>
      </c>
      <c r="I182" s="31">
        <v>86</v>
      </c>
      <c r="J182" s="31">
        <f t="shared" si="12"/>
        <v>93</v>
      </c>
      <c r="K182" s="28">
        <v>49000</v>
      </c>
      <c r="L182" s="29">
        <v>0.81</v>
      </c>
      <c r="M182" s="31">
        <f t="shared" si="13"/>
        <v>39690</v>
      </c>
      <c r="N182" s="28">
        <f t="shared" si="14"/>
        <v>9309.9999999999982</v>
      </c>
    </row>
    <row r="183" spans="1:15" x14ac:dyDescent="0.35">
      <c r="A183">
        <v>718823</v>
      </c>
      <c r="B183" t="s">
        <v>630</v>
      </c>
      <c r="C183" t="s">
        <v>631</v>
      </c>
      <c r="D183" t="s">
        <v>623</v>
      </c>
      <c r="E183" s="30" t="s">
        <v>14</v>
      </c>
      <c r="F183" s="31">
        <v>0</v>
      </c>
      <c r="G183" s="31">
        <v>0</v>
      </c>
      <c r="H183" s="31">
        <v>0</v>
      </c>
      <c r="I183" s="31">
        <v>3</v>
      </c>
      <c r="J183" s="31">
        <f t="shared" si="12"/>
        <v>3</v>
      </c>
      <c r="K183" s="28">
        <v>428000</v>
      </c>
      <c r="L183" s="29">
        <v>0.81</v>
      </c>
      <c r="M183" s="31">
        <f t="shared" si="13"/>
        <v>346680</v>
      </c>
      <c r="N183" s="28">
        <f t="shared" si="14"/>
        <v>81319.999999999971</v>
      </c>
      <c r="O183" s="28">
        <v>214000</v>
      </c>
    </row>
    <row r="184" spans="1:15" x14ac:dyDescent="0.35">
      <c r="A184">
        <v>701011</v>
      </c>
      <c r="B184" t="s">
        <v>1770</v>
      </c>
      <c r="C184" t="s">
        <v>1665</v>
      </c>
      <c r="D184" t="s">
        <v>623</v>
      </c>
      <c r="E184" s="30" t="s">
        <v>14</v>
      </c>
      <c r="F184" s="31">
        <v>0</v>
      </c>
      <c r="G184" s="31">
        <v>0</v>
      </c>
      <c r="H184" s="31">
        <v>0</v>
      </c>
      <c r="I184" s="31">
        <v>23</v>
      </c>
      <c r="J184" s="31">
        <f t="shared" si="12"/>
        <v>23</v>
      </c>
      <c r="K184" s="28">
        <v>448000</v>
      </c>
      <c r="L184" s="29">
        <v>0.45</v>
      </c>
      <c r="M184" s="31">
        <f t="shared" si="13"/>
        <v>201600</v>
      </c>
      <c r="N184" s="28">
        <f t="shared" si="14"/>
        <v>246400.00000000003</v>
      </c>
    </row>
    <row r="185" spans="1:15" x14ac:dyDescent="0.35">
      <c r="A185">
        <v>710089</v>
      </c>
      <c r="B185" t="s">
        <v>1771</v>
      </c>
      <c r="C185" t="s">
        <v>1665</v>
      </c>
      <c r="D185" t="s">
        <v>623</v>
      </c>
      <c r="E185" s="30" t="s">
        <v>14</v>
      </c>
      <c r="F185" s="31">
        <v>0</v>
      </c>
      <c r="G185" s="31">
        <v>0</v>
      </c>
      <c r="H185" s="31">
        <v>0</v>
      </c>
      <c r="I185" s="31">
        <v>9</v>
      </c>
      <c r="J185" s="31">
        <f t="shared" si="12"/>
        <v>9</v>
      </c>
      <c r="K185" s="28">
        <v>378000</v>
      </c>
      <c r="L185" s="29">
        <v>0.45</v>
      </c>
      <c r="M185" s="31">
        <f t="shared" si="13"/>
        <v>170100</v>
      </c>
      <c r="N185" s="28">
        <f t="shared" si="14"/>
        <v>207900.00000000003</v>
      </c>
    </row>
    <row r="186" spans="1:15" x14ac:dyDescent="0.35">
      <c r="A186">
        <v>500924001</v>
      </c>
      <c r="B186" t="s">
        <v>1772</v>
      </c>
      <c r="C186" t="s">
        <v>92</v>
      </c>
      <c r="D186" t="s">
        <v>270</v>
      </c>
      <c r="E186" s="30" t="s">
        <v>14</v>
      </c>
      <c r="F186" s="31">
        <v>0</v>
      </c>
      <c r="G186" s="31">
        <v>0</v>
      </c>
      <c r="H186" s="31">
        <v>0</v>
      </c>
      <c r="I186" s="31">
        <v>4</v>
      </c>
      <c r="J186" s="31">
        <f t="shared" si="12"/>
        <v>4</v>
      </c>
      <c r="K186" s="28">
        <v>95000</v>
      </c>
      <c r="L186" s="29">
        <v>0.81</v>
      </c>
      <c r="M186" s="31">
        <f t="shared" si="13"/>
        <v>76950</v>
      </c>
      <c r="N186" s="28">
        <f t="shared" si="14"/>
        <v>18049.999999999996</v>
      </c>
    </row>
    <row r="187" spans="1:15" x14ac:dyDescent="0.35">
      <c r="A187">
        <v>728896013</v>
      </c>
      <c r="B187" t="s">
        <v>310</v>
      </c>
      <c r="C187" t="s">
        <v>92</v>
      </c>
      <c r="D187" t="s">
        <v>270</v>
      </c>
      <c r="E187" s="30" t="s">
        <v>14</v>
      </c>
      <c r="F187" s="31">
        <v>0</v>
      </c>
      <c r="G187" s="31">
        <v>0</v>
      </c>
      <c r="H187" s="31">
        <v>0</v>
      </c>
      <c r="I187" s="31">
        <v>1</v>
      </c>
      <c r="J187" s="31">
        <f t="shared" si="12"/>
        <v>1</v>
      </c>
      <c r="K187" s="28">
        <v>1198000</v>
      </c>
      <c r="L187" s="29">
        <v>0.81</v>
      </c>
      <c r="M187" s="31">
        <f t="shared" si="13"/>
        <v>970380.00000000012</v>
      </c>
      <c r="N187" s="28">
        <f t="shared" si="14"/>
        <v>227619.99999999994</v>
      </c>
      <c r="O187" s="28">
        <v>958400</v>
      </c>
    </row>
    <row r="188" spans="1:15" x14ac:dyDescent="0.35">
      <c r="A188">
        <v>731005004</v>
      </c>
      <c r="B188" t="s">
        <v>311</v>
      </c>
      <c r="C188" t="s">
        <v>92</v>
      </c>
      <c r="D188" t="s">
        <v>270</v>
      </c>
      <c r="E188" s="30" t="s">
        <v>14</v>
      </c>
      <c r="F188" s="31">
        <v>0</v>
      </c>
      <c r="G188" s="31">
        <v>0</v>
      </c>
      <c r="H188" s="31">
        <v>0</v>
      </c>
      <c r="I188" s="31">
        <v>2</v>
      </c>
      <c r="J188" s="31">
        <f t="shared" si="12"/>
        <v>2</v>
      </c>
      <c r="K188" s="28">
        <v>2398000</v>
      </c>
      <c r="L188" s="29">
        <v>0.45</v>
      </c>
      <c r="M188" s="31">
        <f t="shared" si="13"/>
        <v>1079100</v>
      </c>
      <c r="N188" s="28">
        <f t="shared" si="14"/>
        <v>1318900</v>
      </c>
      <c r="O188" s="28">
        <v>1918400</v>
      </c>
    </row>
    <row r="189" spans="1:15" x14ac:dyDescent="0.35">
      <c r="A189">
        <v>731005007</v>
      </c>
      <c r="B189" t="s">
        <v>632</v>
      </c>
      <c r="C189" t="s">
        <v>92</v>
      </c>
      <c r="D189" t="s">
        <v>270</v>
      </c>
      <c r="E189" s="30" t="s">
        <v>14</v>
      </c>
      <c r="F189" s="31">
        <v>0</v>
      </c>
      <c r="G189" s="31">
        <v>0</v>
      </c>
      <c r="H189" s="31">
        <v>0</v>
      </c>
      <c r="I189" s="31">
        <v>1</v>
      </c>
      <c r="J189" s="31">
        <f t="shared" si="12"/>
        <v>1</v>
      </c>
      <c r="K189" s="28">
        <v>2398000</v>
      </c>
      <c r="L189" s="29">
        <v>0.45</v>
      </c>
      <c r="M189" s="31">
        <f t="shared" si="13"/>
        <v>1079100</v>
      </c>
      <c r="N189" s="28">
        <f t="shared" si="14"/>
        <v>1318900</v>
      </c>
      <c r="O189" s="28">
        <v>1918400</v>
      </c>
    </row>
    <row r="190" spans="1:15" x14ac:dyDescent="0.35">
      <c r="A190">
        <v>731005020</v>
      </c>
      <c r="B190" t="s">
        <v>633</v>
      </c>
      <c r="C190" t="s">
        <v>92</v>
      </c>
      <c r="D190" t="s">
        <v>270</v>
      </c>
      <c r="E190" s="30" t="s">
        <v>14</v>
      </c>
      <c r="F190" s="31">
        <v>0</v>
      </c>
      <c r="G190" s="31">
        <v>0</v>
      </c>
      <c r="H190" s="31">
        <v>0</v>
      </c>
      <c r="I190" s="31">
        <v>4</v>
      </c>
      <c r="J190" s="31">
        <f t="shared" si="12"/>
        <v>4</v>
      </c>
      <c r="K190" s="28">
        <v>2398000</v>
      </c>
      <c r="L190" s="29">
        <v>0.45</v>
      </c>
      <c r="M190" s="31">
        <f t="shared" si="13"/>
        <v>1079100</v>
      </c>
      <c r="N190" s="28">
        <f t="shared" si="14"/>
        <v>1318900</v>
      </c>
      <c r="O190" s="28">
        <v>1918400</v>
      </c>
    </row>
    <row r="191" spans="1:15" x14ac:dyDescent="0.35">
      <c r="A191">
        <v>731005023</v>
      </c>
      <c r="B191" t="s">
        <v>314</v>
      </c>
      <c r="C191" t="s">
        <v>92</v>
      </c>
      <c r="D191" t="s">
        <v>270</v>
      </c>
      <c r="E191" s="30" t="s">
        <v>14</v>
      </c>
      <c r="F191" s="31">
        <v>0</v>
      </c>
      <c r="G191" s="31">
        <v>0</v>
      </c>
      <c r="H191" s="31">
        <v>0</v>
      </c>
      <c r="I191" s="31">
        <v>2</v>
      </c>
      <c r="J191" s="31">
        <f t="shared" si="12"/>
        <v>2</v>
      </c>
      <c r="K191" s="28">
        <v>2398000</v>
      </c>
      <c r="L191" s="29">
        <v>0.45</v>
      </c>
      <c r="M191" s="31">
        <f t="shared" si="13"/>
        <v>1079100</v>
      </c>
      <c r="N191" s="28">
        <f t="shared" si="14"/>
        <v>1318900</v>
      </c>
      <c r="O191" s="28">
        <v>1918400</v>
      </c>
    </row>
    <row r="192" spans="1:15" x14ac:dyDescent="0.35">
      <c r="A192">
        <v>732472010</v>
      </c>
      <c r="B192" t="s">
        <v>279</v>
      </c>
      <c r="C192" t="s">
        <v>92</v>
      </c>
      <c r="D192" t="s">
        <v>270</v>
      </c>
      <c r="E192" s="30" t="s">
        <v>14</v>
      </c>
      <c r="F192" s="31">
        <v>0</v>
      </c>
      <c r="G192" s="31">
        <v>0</v>
      </c>
      <c r="H192" s="31">
        <v>0</v>
      </c>
      <c r="I192" s="31">
        <v>3</v>
      </c>
      <c r="J192" s="31">
        <f t="shared" si="12"/>
        <v>3</v>
      </c>
      <c r="K192" s="28">
        <v>848000</v>
      </c>
      <c r="L192" s="29">
        <v>0.45</v>
      </c>
      <c r="M192" s="31">
        <f t="shared" si="13"/>
        <v>381600</v>
      </c>
      <c r="N192" s="28">
        <f t="shared" si="14"/>
        <v>466400.00000000006</v>
      </c>
      <c r="O192" s="28">
        <v>678400</v>
      </c>
    </row>
    <row r="193" spans="1:15" x14ac:dyDescent="0.35">
      <c r="A193">
        <v>732472015</v>
      </c>
      <c r="B193" t="s">
        <v>281</v>
      </c>
      <c r="C193" t="s">
        <v>92</v>
      </c>
      <c r="D193" t="s">
        <v>270</v>
      </c>
      <c r="E193" s="30" t="s">
        <v>14</v>
      </c>
      <c r="F193" s="31">
        <v>0</v>
      </c>
      <c r="G193" s="31">
        <v>0</v>
      </c>
      <c r="H193" s="31">
        <v>0</v>
      </c>
      <c r="I193" s="31">
        <v>2</v>
      </c>
      <c r="J193" s="31">
        <f t="shared" si="12"/>
        <v>2</v>
      </c>
      <c r="K193" s="28">
        <v>848000</v>
      </c>
      <c r="L193" s="29">
        <v>0.45</v>
      </c>
      <c r="M193" s="31">
        <f t="shared" si="13"/>
        <v>381600</v>
      </c>
      <c r="N193" s="28">
        <f t="shared" si="14"/>
        <v>466400.00000000006</v>
      </c>
      <c r="O193" s="28">
        <v>678400</v>
      </c>
    </row>
    <row r="194" spans="1:15" x14ac:dyDescent="0.35">
      <c r="A194">
        <v>732472016</v>
      </c>
      <c r="B194" t="s">
        <v>280</v>
      </c>
      <c r="C194" t="s">
        <v>92</v>
      </c>
      <c r="D194" t="s">
        <v>270</v>
      </c>
      <c r="E194" s="30" t="s">
        <v>14</v>
      </c>
      <c r="F194" s="31">
        <v>0</v>
      </c>
      <c r="G194" s="31">
        <v>0</v>
      </c>
      <c r="H194" s="31">
        <v>0</v>
      </c>
      <c r="I194" s="31">
        <v>19</v>
      </c>
      <c r="J194" s="31">
        <f t="shared" si="12"/>
        <v>19</v>
      </c>
      <c r="K194" s="28">
        <v>848000</v>
      </c>
      <c r="L194" s="29">
        <v>0.45</v>
      </c>
      <c r="M194" s="31">
        <f t="shared" si="13"/>
        <v>381600</v>
      </c>
      <c r="N194" s="28">
        <f t="shared" si="14"/>
        <v>466400.00000000006</v>
      </c>
      <c r="O194" s="28">
        <v>678400</v>
      </c>
    </row>
    <row r="195" spans="1:15" x14ac:dyDescent="0.35">
      <c r="A195">
        <v>732472017</v>
      </c>
      <c r="B195" t="s">
        <v>635</v>
      </c>
      <c r="C195" t="s">
        <v>92</v>
      </c>
      <c r="D195" t="s">
        <v>270</v>
      </c>
      <c r="E195" s="30" t="s">
        <v>14</v>
      </c>
      <c r="F195" s="31">
        <v>0</v>
      </c>
      <c r="G195" s="31">
        <v>2</v>
      </c>
      <c r="H195" s="31">
        <v>0</v>
      </c>
      <c r="I195" s="31">
        <v>2</v>
      </c>
      <c r="J195" s="31">
        <f t="shared" si="12"/>
        <v>4</v>
      </c>
      <c r="K195" s="28">
        <v>848000</v>
      </c>
      <c r="L195" s="29">
        <v>0.45</v>
      </c>
      <c r="M195" s="31">
        <f t="shared" si="13"/>
        <v>381600</v>
      </c>
      <c r="N195" s="28">
        <f t="shared" ref="N195:N258" si="15">K195*(1-L195)</f>
        <v>466400.00000000006</v>
      </c>
      <c r="O195" s="28">
        <v>678400</v>
      </c>
    </row>
    <row r="196" spans="1:15" x14ac:dyDescent="0.35">
      <c r="A196">
        <v>732472020</v>
      </c>
      <c r="B196" t="s">
        <v>636</v>
      </c>
      <c r="C196" t="s">
        <v>92</v>
      </c>
      <c r="D196" t="s">
        <v>270</v>
      </c>
      <c r="E196" s="30" t="s">
        <v>14</v>
      </c>
      <c r="F196" s="31">
        <v>0</v>
      </c>
      <c r="G196" s="31">
        <v>0</v>
      </c>
      <c r="H196" s="31">
        <v>0</v>
      </c>
      <c r="I196" s="31">
        <v>12</v>
      </c>
      <c r="J196" s="31">
        <f t="shared" ref="J196:J259" si="16">SUM(F196:I196)</f>
        <v>12</v>
      </c>
      <c r="K196" s="28">
        <v>848000</v>
      </c>
      <c r="L196" s="29">
        <v>0.45</v>
      </c>
      <c r="M196" s="31">
        <f t="shared" ref="M196:M259" si="17">K196*L196</f>
        <v>381600</v>
      </c>
      <c r="N196" s="28">
        <f t="shared" si="15"/>
        <v>466400.00000000006</v>
      </c>
      <c r="O196" s="28">
        <v>678400</v>
      </c>
    </row>
    <row r="197" spans="1:15" x14ac:dyDescent="0.35">
      <c r="A197">
        <v>732472021</v>
      </c>
      <c r="B197" t="s">
        <v>637</v>
      </c>
      <c r="C197" t="s">
        <v>92</v>
      </c>
      <c r="D197" t="s">
        <v>270</v>
      </c>
      <c r="E197" s="30" t="s">
        <v>14</v>
      </c>
      <c r="F197" s="31">
        <v>0</v>
      </c>
      <c r="G197" s="31">
        <v>37</v>
      </c>
      <c r="H197" s="31">
        <v>3</v>
      </c>
      <c r="I197" s="31">
        <v>23</v>
      </c>
      <c r="J197" s="31">
        <f t="shared" si="16"/>
        <v>63</v>
      </c>
      <c r="K197" s="28">
        <v>848000</v>
      </c>
      <c r="L197" s="29">
        <v>0.45</v>
      </c>
      <c r="M197" s="31">
        <f t="shared" si="17"/>
        <v>381600</v>
      </c>
      <c r="N197" s="28">
        <f t="shared" si="15"/>
        <v>466400.00000000006</v>
      </c>
      <c r="O197" s="28">
        <v>678400</v>
      </c>
    </row>
    <row r="198" spans="1:15" x14ac:dyDescent="0.35">
      <c r="A198">
        <v>732473012</v>
      </c>
      <c r="B198" t="s">
        <v>284</v>
      </c>
      <c r="C198" t="s">
        <v>92</v>
      </c>
      <c r="D198" t="s">
        <v>270</v>
      </c>
      <c r="E198" s="30" t="s">
        <v>14</v>
      </c>
      <c r="F198" s="31">
        <v>0</v>
      </c>
      <c r="G198" s="31">
        <v>0</v>
      </c>
      <c r="H198" s="31">
        <v>0</v>
      </c>
      <c r="I198" s="31">
        <v>12</v>
      </c>
      <c r="J198" s="31">
        <f t="shared" si="16"/>
        <v>12</v>
      </c>
      <c r="K198" s="28">
        <v>1248000</v>
      </c>
      <c r="L198" s="29">
        <v>0.45</v>
      </c>
      <c r="M198" s="31">
        <f t="shared" si="17"/>
        <v>561600</v>
      </c>
      <c r="N198" s="28">
        <f t="shared" si="15"/>
        <v>686400</v>
      </c>
      <c r="O198" s="28">
        <v>998400</v>
      </c>
    </row>
    <row r="199" spans="1:15" x14ac:dyDescent="0.35">
      <c r="A199">
        <v>732473013</v>
      </c>
      <c r="B199" t="s">
        <v>285</v>
      </c>
      <c r="C199" t="s">
        <v>92</v>
      </c>
      <c r="D199" t="s">
        <v>270</v>
      </c>
      <c r="E199" s="30" t="s">
        <v>14</v>
      </c>
      <c r="F199" s="31">
        <v>0</v>
      </c>
      <c r="G199" s="31">
        <v>0</v>
      </c>
      <c r="H199" s="31">
        <v>0</v>
      </c>
      <c r="I199" s="31">
        <v>1</v>
      </c>
      <c r="J199" s="31">
        <f t="shared" si="16"/>
        <v>1</v>
      </c>
      <c r="K199" s="28">
        <v>1248000</v>
      </c>
      <c r="L199" s="29">
        <v>0.45</v>
      </c>
      <c r="M199" s="31">
        <f t="shared" si="17"/>
        <v>561600</v>
      </c>
      <c r="N199" s="28">
        <f t="shared" si="15"/>
        <v>686400</v>
      </c>
      <c r="O199" s="28">
        <v>998400</v>
      </c>
    </row>
    <row r="200" spans="1:15" x14ac:dyDescent="0.35">
      <c r="A200">
        <v>732473016</v>
      </c>
      <c r="B200" t="s">
        <v>287</v>
      </c>
      <c r="C200" t="s">
        <v>92</v>
      </c>
      <c r="D200" t="s">
        <v>270</v>
      </c>
      <c r="E200" s="30" t="s">
        <v>14</v>
      </c>
      <c r="F200" s="31">
        <v>0</v>
      </c>
      <c r="G200" s="31">
        <v>0</v>
      </c>
      <c r="H200" s="31">
        <v>0</v>
      </c>
      <c r="I200" s="31">
        <v>9</v>
      </c>
      <c r="J200" s="31">
        <f t="shared" si="16"/>
        <v>9</v>
      </c>
      <c r="K200" s="28">
        <v>1248000</v>
      </c>
      <c r="L200" s="29">
        <v>0.45</v>
      </c>
      <c r="M200" s="31">
        <f t="shared" si="17"/>
        <v>561600</v>
      </c>
      <c r="N200" s="28">
        <f t="shared" si="15"/>
        <v>686400</v>
      </c>
      <c r="O200" s="28">
        <v>998400</v>
      </c>
    </row>
    <row r="201" spans="1:15" x14ac:dyDescent="0.35">
      <c r="A201">
        <v>732473022</v>
      </c>
      <c r="B201" t="s">
        <v>289</v>
      </c>
      <c r="C201" t="s">
        <v>92</v>
      </c>
      <c r="D201" t="s">
        <v>270</v>
      </c>
      <c r="E201" s="30" t="s">
        <v>14</v>
      </c>
      <c r="F201" s="31">
        <v>0</v>
      </c>
      <c r="G201" s="31">
        <v>0</v>
      </c>
      <c r="H201" s="31">
        <v>0</v>
      </c>
      <c r="I201" s="31">
        <v>1</v>
      </c>
      <c r="J201" s="31">
        <f t="shared" si="16"/>
        <v>1</v>
      </c>
      <c r="K201" s="28">
        <v>1248000</v>
      </c>
      <c r="L201" s="29">
        <v>0.45</v>
      </c>
      <c r="M201" s="31">
        <f t="shared" si="17"/>
        <v>561600</v>
      </c>
      <c r="N201" s="28">
        <f t="shared" si="15"/>
        <v>686400</v>
      </c>
      <c r="O201" s="28">
        <v>998400</v>
      </c>
    </row>
    <row r="202" spans="1:15" x14ac:dyDescent="0.35">
      <c r="A202">
        <v>732473024</v>
      </c>
      <c r="B202" t="s">
        <v>288</v>
      </c>
      <c r="C202" t="s">
        <v>92</v>
      </c>
      <c r="D202" t="s">
        <v>270</v>
      </c>
      <c r="E202" s="30" t="s">
        <v>14</v>
      </c>
      <c r="F202" s="31">
        <v>0</v>
      </c>
      <c r="G202" s="31">
        <v>0</v>
      </c>
      <c r="H202" s="31">
        <v>0</v>
      </c>
      <c r="I202" s="31">
        <v>11</v>
      </c>
      <c r="J202" s="31">
        <f t="shared" si="16"/>
        <v>11</v>
      </c>
      <c r="K202" s="28">
        <v>1248000</v>
      </c>
      <c r="L202" s="29">
        <v>0.45</v>
      </c>
      <c r="M202" s="31">
        <f t="shared" si="17"/>
        <v>561600</v>
      </c>
      <c r="N202" s="28">
        <f t="shared" si="15"/>
        <v>686400</v>
      </c>
      <c r="O202" s="28">
        <v>998400</v>
      </c>
    </row>
    <row r="203" spans="1:15" x14ac:dyDescent="0.35">
      <c r="A203">
        <v>732473025</v>
      </c>
      <c r="B203" t="s">
        <v>640</v>
      </c>
      <c r="C203" t="s">
        <v>92</v>
      </c>
      <c r="D203" t="s">
        <v>270</v>
      </c>
      <c r="E203" s="30" t="s">
        <v>14</v>
      </c>
      <c r="F203" s="31">
        <v>0</v>
      </c>
      <c r="G203" s="31">
        <v>0</v>
      </c>
      <c r="H203" s="31">
        <v>5</v>
      </c>
      <c r="I203" s="31">
        <v>33</v>
      </c>
      <c r="J203" s="31">
        <f t="shared" si="16"/>
        <v>38</v>
      </c>
      <c r="K203" s="28">
        <v>1248000</v>
      </c>
      <c r="L203" s="29">
        <v>0.45</v>
      </c>
      <c r="M203" s="31">
        <f t="shared" si="17"/>
        <v>561600</v>
      </c>
      <c r="N203" s="28">
        <f t="shared" si="15"/>
        <v>686400</v>
      </c>
      <c r="O203" s="28">
        <v>998400</v>
      </c>
    </row>
    <row r="204" spans="1:15" x14ac:dyDescent="0.35">
      <c r="A204">
        <v>732473027</v>
      </c>
      <c r="B204" t="s">
        <v>282</v>
      </c>
      <c r="C204" t="s">
        <v>92</v>
      </c>
      <c r="D204" t="s">
        <v>270</v>
      </c>
      <c r="E204" s="30" t="s">
        <v>14</v>
      </c>
      <c r="F204" s="31">
        <v>0</v>
      </c>
      <c r="G204" s="31">
        <v>0</v>
      </c>
      <c r="H204" s="31">
        <v>0</v>
      </c>
      <c r="I204" s="31">
        <v>4</v>
      </c>
      <c r="J204" s="31">
        <f t="shared" si="16"/>
        <v>4</v>
      </c>
      <c r="K204" s="28">
        <v>1248000</v>
      </c>
      <c r="L204" s="29">
        <v>0.45</v>
      </c>
      <c r="M204" s="31">
        <f t="shared" si="17"/>
        <v>561600</v>
      </c>
      <c r="N204" s="28">
        <f t="shared" si="15"/>
        <v>686400</v>
      </c>
      <c r="O204" s="28">
        <v>998400</v>
      </c>
    </row>
    <row r="205" spans="1:15" x14ac:dyDescent="0.35">
      <c r="A205">
        <v>732473029</v>
      </c>
      <c r="B205" t="s">
        <v>641</v>
      </c>
      <c r="C205" t="s">
        <v>92</v>
      </c>
      <c r="D205" t="s">
        <v>270</v>
      </c>
      <c r="E205" s="30" t="s">
        <v>14</v>
      </c>
      <c r="F205" s="31">
        <v>7</v>
      </c>
      <c r="G205" s="31">
        <v>0</v>
      </c>
      <c r="H205" s="31">
        <v>3</v>
      </c>
      <c r="I205" s="31">
        <v>31</v>
      </c>
      <c r="J205" s="31">
        <f t="shared" si="16"/>
        <v>41</v>
      </c>
      <c r="K205" s="28">
        <v>1248000</v>
      </c>
      <c r="L205" s="29">
        <v>0.45</v>
      </c>
      <c r="M205" s="31">
        <f t="shared" si="17"/>
        <v>561600</v>
      </c>
      <c r="N205" s="28">
        <f t="shared" si="15"/>
        <v>686400</v>
      </c>
      <c r="O205" s="28">
        <v>998400</v>
      </c>
    </row>
    <row r="206" spans="1:15" x14ac:dyDescent="0.35">
      <c r="A206">
        <v>732473032</v>
      </c>
      <c r="B206" t="s">
        <v>283</v>
      </c>
      <c r="C206" t="s">
        <v>92</v>
      </c>
      <c r="D206" t="s">
        <v>270</v>
      </c>
      <c r="E206" s="30" t="s">
        <v>14</v>
      </c>
      <c r="F206" s="31">
        <v>0</v>
      </c>
      <c r="G206" s="31">
        <v>0</v>
      </c>
      <c r="H206" s="31">
        <v>0</v>
      </c>
      <c r="I206" s="31">
        <v>9</v>
      </c>
      <c r="J206" s="31">
        <f t="shared" si="16"/>
        <v>9</v>
      </c>
      <c r="K206" s="28">
        <v>1248000</v>
      </c>
      <c r="L206" s="29">
        <v>0.45</v>
      </c>
      <c r="M206" s="31">
        <f t="shared" si="17"/>
        <v>561600</v>
      </c>
      <c r="N206" s="28">
        <f t="shared" si="15"/>
        <v>686400</v>
      </c>
      <c r="O206" s="28">
        <v>998400</v>
      </c>
    </row>
    <row r="207" spans="1:15" x14ac:dyDescent="0.35">
      <c r="A207">
        <v>732474010</v>
      </c>
      <c r="B207" t="s">
        <v>642</v>
      </c>
      <c r="C207" t="s">
        <v>92</v>
      </c>
      <c r="D207" t="s">
        <v>270</v>
      </c>
      <c r="E207" s="30" t="s">
        <v>14</v>
      </c>
      <c r="F207" s="31">
        <v>0</v>
      </c>
      <c r="G207" s="31">
        <v>0</v>
      </c>
      <c r="H207" s="31">
        <v>2</v>
      </c>
      <c r="I207" s="31">
        <v>3</v>
      </c>
      <c r="J207" s="31">
        <f t="shared" si="16"/>
        <v>5</v>
      </c>
      <c r="K207" s="28">
        <v>3498000</v>
      </c>
      <c r="L207" s="29">
        <v>0.45</v>
      </c>
      <c r="M207" s="31">
        <f t="shared" si="17"/>
        <v>1574100</v>
      </c>
      <c r="N207" s="28">
        <f t="shared" si="15"/>
        <v>1923900.0000000002</v>
      </c>
      <c r="O207" s="28">
        <v>2798400</v>
      </c>
    </row>
    <row r="208" spans="1:15" x14ac:dyDescent="0.35">
      <c r="A208">
        <v>732474011</v>
      </c>
      <c r="B208" t="s">
        <v>301</v>
      </c>
      <c r="C208" t="s">
        <v>92</v>
      </c>
      <c r="D208" t="s">
        <v>270</v>
      </c>
      <c r="E208" s="30" t="s">
        <v>14</v>
      </c>
      <c r="F208" s="31">
        <v>0</v>
      </c>
      <c r="G208" s="31">
        <v>0</v>
      </c>
      <c r="H208" s="31">
        <v>0</v>
      </c>
      <c r="I208" s="31">
        <v>7</v>
      </c>
      <c r="J208" s="31">
        <f t="shared" si="16"/>
        <v>7</v>
      </c>
      <c r="K208" s="28">
        <v>3498000</v>
      </c>
      <c r="L208" s="29">
        <v>0.45</v>
      </c>
      <c r="M208" s="31">
        <f t="shared" si="17"/>
        <v>1574100</v>
      </c>
      <c r="N208" s="28">
        <f t="shared" si="15"/>
        <v>1923900.0000000002</v>
      </c>
      <c r="O208" s="28">
        <v>2798400</v>
      </c>
    </row>
    <row r="209" spans="1:15" x14ac:dyDescent="0.35">
      <c r="A209">
        <v>732474012</v>
      </c>
      <c r="B209" t="s">
        <v>302</v>
      </c>
      <c r="C209" t="s">
        <v>92</v>
      </c>
      <c r="D209" t="s">
        <v>270</v>
      </c>
      <c r="E209" s="30" t="s">
        <v>14</v>
      </c>
      <c r="F209" s="31">
        <v>0</v>
      </c>
      <c r="G209" s="31">
        <v>0</v>
      </c>
      <c r="H209" s="31">
        <v>0</v>
      </c>
      <c r="I209" s="31">
        <v>2</v>
      </c>
      <c r="J209" s="31">
        <f t="shared" si="16"/>
        <v>2</v>
      </c>
      <c r="K209" s="28">
        <v>3498000</v>
      </c>
      <c r="L209" s="29">
        <v>0.45</v>
      </c>
      <c r="M209" s="31">
        <f t="shared" si="17"/>
        <v>1574100</v>
      </c>
      <c r="N209" s="28">
        <f t="shared" si="15"/>
        <v>1923900.0000000002</v>
      </c>
      <c r="O209" s="28">
        <v>2798400</v>
      </c>
    </row>
    <row r="210" spans="1:15" x14ac:dyDescent="0.35">
      <c r="A210">
        <v>732474014</v>
      </c>
      <c r="B210" t="s">
        <v>304</v>
      </c>
      <c r="C210" t="s">
        <v>92</v>
      </c>
      <c r="D210" t="s">
        <v>270</v>
      </c>
      <c r="E210" s="30" t="s">
        <v>14</v>
      </c>
      <c r="F210" s="31">
        <v>0</v>
      </c>
      <c r="G210" s="31">
        <v>0</v>
      </c>
      <c r="H210" s="31">
        <v>0</v>
      </c>
      <c r="I210" s="31">
        <v>1</v>
      </c>
      <c r="J210" s="31">
        <f t="shared" si="16"/>
        <v>1</v>
      </c>
      <c r="K210" s="28">
        <v>3498000</v>
      </c>
      <c r="L210" s="29">
        <v>0.45</v>
      </c>
      <c r="M210" s="31">
        <f t="shared" si="17"/>
        <v>1574100</v>
      </c>
      <c r="N210" s="28">
        <f t="shared" si="15"/>
        <v>1923900.0000000002</v>
      </c>
      <c r="O210" s="28">
        <v>2798400</v>
      </c>
    </row>
    <row r="211" spans="1:15" x14ac:dyDescent="0.35">
      <c r="A211">
        <v>732474015</v>
      </c>
      <c r="B211" t="s">
        <v>305</v>
      </c>
      <c r="C211" t="s">
        <v>92</v>
      </c>
      <c r="D211" t="s">
        <v>270</v>
      </c>
      <c r="E211" s="30" t="s">
        <v>14</v>
      </c>
      <c r="F211" s="31">
        <v>0</v>
      </c>
      <c r="G211" s="31">
        <v>0</v>
      </c>
      <c r="H211" s="31">
        <v>0</v>
      </c>
      <c r="I211" s="31">
        <v>9</v>
      </c>
      <c r="J211" s="31">
        <f t="shared" si="16"/>
        <v>9</v>
      </c>
      <c r="K211" s="28">
        <v>3498000</v>
      </c>
      <c r="L211" s="29">
        <v>0.45</v>
      </c>
      <c r="M211" s="31">
        <f t="shared" si="17"/>
        <v>1574100</v>
      </c>
      <c r="N211" s="28">
        <f t="shared" si="15"/>
        <v>1923900.0000000002</v>
      </c>
      <c r="O211" s="28">
        <v>2798400</v>
      </c>
    </row>
    <row r="212" spans="1:15" x14ac:dyDescent="0.35">
      <c r="A212">
        <v>732474016</v>
      </c>
      <c r="B212" t="s">
        <v>643</v>
      </c>
      <c r="C212" t="s">
        <v>92</v>
      </c>
      <c r="D212" t="s">
        <v>270</v>
      </c>
      <c r="E212" s="30">
        <v>0</v>
      </c>
      <c r="F212" s="31">
        <v>5</v>
      </c>
      <c r="G212" s="31">
        <v>4</v>
      </c>
      <c r="H212" s="31">
        <v>5</v>
      </c>
      <c r="I212" s="31">
        <v>13</v>
      </c>
      <c r="J212" s="31">
        <f t="shared" si="16"/>
        <v>27</v>
      </c>
      <c r="K212" s="28">
        <v>3498000</v>
      </c>
      <c r="L212" s="29">
        <v>0.45</v>
      </c>
      <c r="M212" s="31">
        <f t="shared" si="17"/>
        <v>1574100</v>
      </c>
      <c r="N212" s="28">
        <f t="shared" si="15"/>
        <v>1923900.0000000002</v>
      </c>
      <c r="O212" s="28">
        <v>2798400</v>
      </c>
    </row>
    <row r="213" spans="1:15" x14ac:dyDescent="0.35">
      <c r="A213">
        <v>732474017</v>
      </c>
      <c r="B213" t="s">
        <v>644</v>
      </c>
      <c r="C213" t="s">
        <v>92</v>
      </c>
      <c r="D213" t="s">
        <v>270</v>
      </c>
      <c r="E213" s="30" t="s">
        <v>14</v>
      </c>
      <c r="F213" s="31">
        <v>0</v>
      </c>
      <c r="G213" s="31">
        <v>0</v>
      </c>
      <c r="H213" s="31">
        <v>0</v>
      </c>
      <c r="I213" s="31">
        <v>5</v>
      </c>
      <c r="J213" s="31">
        <f t="shared" si="16"/>
        <v>5</v>
      </c>
      <c r="K213" s="28">
        <v>3498000</v>
      </c>
      <c r="L213" s="29">
        <v>0.45</v>
      </c>
      <c r="M213" s="31">
        <f t="shared" si="17"/>
        <v>1574100</v>
      </c>
      <c r="N213" s="28">
        <f t="shared" si="15"/>
        <v>1923900.0000000002</v>
      </c>
      <c r="O213" s="28">
        <v>2798400</v>
      </c>
    </row>
    <row r="214" spans="1:15" x14ac:dyDescent="0.35">
      <c r="A214">
        <v>732474021</v>
      </c>
      <c r="B214" t="s">
        <v>306</v>
      </c>
      <c r="C214" t="s">
        <v>92</v>
      </c>
      <c r="D214" t="s">
        <v>270</v>
      </c>
      <c r="E214" s="30" t="s">
        <v>14</v>
      </c>
      <c r="F214" s="31">
        <v>0</v>
      </c>
      <c r="G214" s="31">
        <v>0</v>
      </c>
      <c r="H214" s="31">
        <v>0</v>
      </c>
      <c r="I214" s="31">
        <v>5</v>
      </c>
      <c r="J214" s="31">
        <f t="shared" si="16"/>
        <v>5</v>
      </c>
      <c r="K214" s="28">
        <v>3498000</v>
      </c>
      <c r="L214" s="29">
        <v>0.45</v>
      </c>
      <c r="M214" s="31">
        <f t="shared" si="17"/>
        <v>1574100</v>
      </c>
      <c r="N214" s="28">
        <f t="shared" si="15"/>
        <v>1923900.0000000002</v>
      </c>
      <c r="O214" s="28">
        <v>2798400</v>
      </c>
    </row>
    <row r="215" spans="1:15" x14ac:dyDescent="0.35">
      <c r="A215">
        <v>732474022</v>
      </c>
      <c r="B215" t="s">
        <v>646</v>
      </c>
      <c r="C215" t="s">
        <v>92</v>
      </c>
      <c r="D215" t="s">
        <v>270</v>
      </c>
      <c r="E215" s="30" t="s">
        <v>14</v>
      </c>
      <c r="F215" s="31">
        <v>0</v>
      </c>
      <c r="G215" s="31">
        <v>0</v>
      </c>
      <c r="H215" s="31">
        <v>1</v>
      </c>
      <c r="I215" s="31">
        <v>10</v>
      </c>
      <c r="J215" s="31">
        <f t="shared" si="16"/>
        <v>11</v>
      </c>
      <c r="K215" s="28">
        <v>3498000</v>
      </c>
      <c r="L215" s="29">
        <v>0.45</v>
      </c>
      <c r="M215" s="31">
        <f t="shared" si="17"/>
        <v>1574100</v>
      </c>
      <c r="N215" s="28">
        <f t="shared" si="15"/>
        <v>1923900.0000000002</v>
      </c>
      <c r="O215" s="28">
        <v>2798400</v>
      </c>
    </row>
    <row r="216" spans="1:15" x14ac:dyDescent="0.35">
      <c r="A216">
        <v>732474028</v>
      </c>
      <c r="B216" t="s">
        <v>647</v>
      </c>
      <c r="C216" t="s">
        <v>92</v>
      </c>
      <c r="D216" t="s">
        <v>270</v>
      </c>
      <c r="E216" s="30" t="s">
        <v>14</v>
      </c>
      <c r="F216" s="31">
        <v>0</v>
      </c>
      <c r="G216" s="31">
        <v>1</v>
      </c>
      <c r="H216" s="31">
        <v>5</v>
      </c>
      <c r="I216" s="31">
        <v>5</v>
      </c>
      <c r="J216" s="31">
        <f t="shared" si="16"/>
        <v>11</v>
      </c>
      <c r="K216" s="28">
        <v>3498000</v>
      </c>
      <c r="L216" s="29">
        <v>0.45</v>
      </c>
      <c r="M216" s="31">
        <f t="shared" si="17"/>
        <v>1574100</v>
      </c>
      <c r="N216" s="28">
        <f t="shared" si="15"/>
        <v>1923900.0000000002</v>
      </c>
      <c r="O216" s="28">
        <v>2798400</v>
      </c>
    </row>
    <row r="217" spans="1:15" x14ac:dyDescent="0.35">
      <c r="A217">
        <v>732474029</v>
      </c>
      <c r="B217" t="s">
        <v>648</v>
      </c>
      <c r="C217" t="s">
        <v>92</v>
      </c>
      <c r="D217" t="s">
        <v>270</v>
      </c>
      <c r="E217" s="30" t="s">
        <v>14</v>
      </c>
      <c r="F217" s="31">
        <v>0</v>
      </c>
      <c r="G217" s="31">
        <v>0</v>
      </c>
      <c r="H217" s="31">
        <v>2</v>
      </c>
      <c r="I217" s="31">
        <v>7</v>
      </c>
      <c r="J217" s="31">
        <f t="shared" si="16"/>
        <v>9</v>
      </c>
      <c r="K217" s="28">
        <v>3498000</v>
      </c>
      <c r="L217" s="29">
        <v>0.45</v>
      </c>
      <c r="M217" s="31">
        <f t="shared" si="17"/>
        <v>1574100</v>
      </c>
      <c r="N217" s="28">
        <f t="shared" si="15"/>
        <v>1923900.0000000002</v>
      </c>
      <c r="O217" s="28">
        <v>2798400</v>
      </c>
    </row>
    <row r="218" spans="1:15" x14ac:dyDescent="0.35">
      <c r="A218">
        <v>732476001</v>
      </c>
      <c r="B218" t="s">
        <v>649</v>
      </c>
      <c r="C218" t="s">
        <v>92</v>
      </c>
      <c r="D218" t="s">
        <v>270</v>
      </c>
      <c r="E218" s="30" t="s">
        <v>14</v>
      </c>
      <c r="F218" s="31">
        <v>0</v>
      </c>
      <c r="G218" s="31">
        <v>0</v>
      </c>
      <c r="H218" s="31">
        <v>0</v>
      </c>
      <c r="I218" s="31">
        <v>1</v>
      </c>
      <c r="J218" s="31">
        <f t="shared" si="16"/>
        <v>1</v>
      </c>
      <c r="K218" s="28">
        <v>998000</v>
      </c>
      <c r="L218" s="29">
        <v>0.45</v>
      </c>
      <c r="M218" s="31">
        <f t="shared" si="17"/>
        <v>449100</v>
      </c>
      <c r="N218" s="28">
        <f t="shared" si="15"/>
        <v>548900</v>
      </c>
      <c r="O218" s="28">
        <v>798400</v>
      </c>
    </row>
    <row r="219" spans="1:15" x14ac:dyDescent="0.35">
      <c r="A219">
        <v>732476002</v>
      </c>
      <c r="B219" t="s">
        <v>315</v>
      </c>
      <c r="C219" t="s">
        <v>92</v>
      </c>
      <c r="D219" t="s">
        <v>270</v>
      </c>
      <c r="E219" s="30" t="s">
        <v>14</v>
      </c>
      <c r="F219" s="31">
        <v>0</v>
      </c>
      <c r="G219" s="31">
        <v>0</v>
      </c>
      <c r="H219" s="31">
        <v>0</v>
      </c>
      <c r="I219" s="31">
        <v>1</v>
      </c>
      <c r="J219" s="31">
        <f t="shared" si="16"/>
        <v>1</v>
      </c>
      <c r="K219" s="28">
        <v>998000</v>
      </c>
      <c r="L219" s="29">
        <v>0.45</v>
      </c>
      <c r="M219" s="31">
        <f t="shared" si="17"/>
        <v>449100</v>
      </c>
      <c r="N219" s="28">
        <f t="shared" si="15"/>
        <v>548900</v>
      </c>
      <c r="O219" s="28">
        <v>798400</v>
      </c>
    </row>
    <row r="220" spans="1:15" x14ac:dyDescent="0.35">
      <c r="A220">
        <v>732476003</v>
      </c>
      <c r="B220" t="s">
        <v>316</v>
      </c>
      <c r="C220" t="s">
        <v>92</v>
      </c>
      <c r="D220" t="s">
        <v>270</v>
      </c>
      <c r="E220" s="30" t="s">
        <v>14</v>
      </c>
      <c r="F220" s="31">
        <v>0</v>
      </c>
      <c r="G220" s="31">
        <v>0</v>
      </c>
      <c r="H220" s="31">
        <v>0</v>
      </c>
      <c r="I220" s="31">
        <v>1</v>
      </c>
      <c r="J220" s="31">
        <f t="shared" si="16"/>
        <v>1</v>
      </c>
      <c r="K220" s="28">
        <v>998000</v>
      </c>
      <c r="L220" s="29">
        <v>0.45</v>
      </c>
      <c r="M220" s="31">
        <f t="shared" si="17"/>
        <v>449100</v>
      </c>
      <c r="N220" s="28">
        <f t="shared" si="15"/>
        <v>548900</v>
      </c>
      <c r="O220" s="28">
        <v>798400</v>
      </c>
    </row>
    <row r="221" spans="1:15" x14ac:dyDescent="0.35">
      <c r="A221">
        <v>732476006</v>
      </c>
      <c r="B221" t="s">
        <v>318</v>
      </c>
      <c r="C221" t="s">
        <v>92</v>
      </c>
      <c r="D221" t="s">
        <v>270</v>
      </c>
      <c r="E221" s="30" t="s">
        <v>14</v>
      </c>
      <c r="F221" s="31">
        <v>0</v>
      </c>
      <c r="G221" s="31">
        <v>0</v>
      </c>
      <c r="H221" s="31">
        <v>0</v>
      </c>
      <c r="I221" s="31">
        <v>1</v>
      </c>
      <c r="J221" s="31">
        <f t="shared" si="16"/>
        <v>1</v>
      </c>
      <c r="K221" s="28">
        <v>998000</v>
      </c>
      <c r="L221" s="29">
        <v>0.45</v>
      </c>
      <c r="M221" s="31">
        <f t="shared" si="17"/>
        <v>449100</v>
      </c>
      <c r="N221" s="28">
        <f t="shared" si="15"/>
        <v>548900</v>
      </c>
      <c r="O221" s="28">
        <v>798400</v>
      </c>
    </row>
    <row r="222" spans="1:15" x14ac:dyDescent="0.35">
      <c r="A222">
        <v>732476007</v>
      </c>
      <c r="B222" t="s">
        <v>319</v>
      </c>
      <c r="C222" t="s">
        <v>92</v>
      </c>
      <c r="D222" t="s">
        <v>270</v>
      </c>
      <c r="E222" s="30" t="s">
        <v>14</v>
      </c>
      <c r="F222" s="31">
        <v>0</v>
      </c>
      <c r="G222" s="31">
        <v>0</v>
      </c>
      <c r="H222" s="31">
        <v>0</v>
      </c>
      <c r="I222" s="31">
        <v>3</v>
      </c>
      <c r="J222" s="31">
        <f t="shared" si="16"/>
        <v>3</v>
      </c>
      <c r="K222" s="28">
        <v>998000</v>
      </c>
      <c r="L222" s="29">
        <v>0.45</v>
      </c>
      <c r="M222" s="31">
        <f t="shared" si="17"/>
        <v>449100</v>
      </c>
      <c r="N222" s="28">
        <f t="shared" si="15"/>
        <v>548900</v>
      </c>
      <c r="O222" s="28">
        <v>798400</v>
      </c>
    </row>
    <row r="223" spans="1:15" x14ac:dyDescent="0.35">
      <c r="A223">
        <v>732477010</v>
      </c>
      <c r="B223" t="s">
        <v>320</v>
      </c>
      <c r="C223" t="s">
        <v>92</v>
      </c>
      <c r="D223" t="s">
        <v>270</v>
      </c>
      <c r="E223" s="30" t="s">
        <v>14</v>
      </c>
      <c r="F223" s="31">
        <v>0</v>
      </c>
      <c r="G223" s="31">
        <v>0</v>
      </c>
      <c r="H223" s="31">
        <v>0</v>
      </c>
      <c r="I223" s="31">
        <v>3</v>
      </c>
      <c r="J223" s="31">
        <f t="shared" si="16"/>
        <v>3</v>
      </c>
      <c r="K223" s="28">
        <v>978000</v>
      </c>
      <c r="L223" s="29">
        <v>0.45</v>
      </c>
      <c r="M223" s="31">
        <f t="shared" si="17"/>
        <v>440100</v>
      </c>
      <c r="N223" s="28">
        <f t="shared" si="15"/>
        <v>537900</v>
      </c>
      <c r="O223" s="28">
        <v>782400</v>
      </c>
    </row>
    <row r="224" spans="1:15" x14ac:dyDescent="0.35">
      <c r="A224">
        <v>732479008</v>
      </c>
      <c r="B224" t="s">
        <v>269</v>
      </c>
      <c r="C224" t="s">
        <v>92</v>
      </c>
      <c r="D224" t="s">
        <v>270</v>
      </c>
      <c r="E224" s="30" t="s">
        <v>14</v>
      </c>
      <c r="F224" s="31">
        <v>0</v>
      </c>
      <c r="G224" s="31">
        <v>0</v>
      </c>
      <c r="H224" s="31">
        <v>0</v>
      </c>
      <c r="I224" s="31">
        <v>1</v>
      </c>
      <c r="J224" s="31">
        <f t="shared" si="16"/>
        <v>1</v>
      </c>
      <c r="K224" s="28">
        <v>978000</v>
      </c>
      <c r="L224" s="29">
        <v>0.45</v>
      </c>
      <c r="M224" s="31">
        <f t="shared" si="17"/>
        <v>440100</v>
      </c>
      <c r="N224" s="28">
        <f t="shared" si="15"/>
        <v>537900</v>
      </c>
      <c r="O224" s="28">
        <v>782400</v>
      </c>
    </row>
    <row r="225" spans="1:15" x14ac:dyDescent="0.35">
      <c r="A225">
        <v>732479020</v>
      </c>
      <c r="B225" t="s">
        <v>271</v>
      </c>
      <c r="C225" t="s">
        <v>92</v>
      </c>
      <c r="D225" t="s">
        <v>270</v>
      </c>
      <c r="E225" s="30" t="s">
        <v>14</v>
      </c>
      <c r="F225" s="31">
        <v>0</v>
      </c>
      <c r="G225" s="31">
        <v>0</v>
      </c>
      <c r="H225" s="31">
        <v>0</v>
      </c>
      <c r="I225" s="31">
        <v>1</v>
      </c>
      <c r="J225" s="31">
        <f t="shared" si="16"/>
        <v>1</v>
      </c>
      <c r="K225" s="28">
        <v>978000</v>
      </c>
      <c r="L225" s="29">
        <v>0.45</v>
      </c>
      <c r="M225" s="31">
        <f t="shared" si="17"/>
        <v>440100</v>
      </c>
      <c r="N225" s="28">
        <f t="shared" si="15"/>
        <v>537900</v>
      </c>
      <c r="O225" s="28">
        <v>782400</v>
      </c>
    </row>
    <row r="226" spans="1:15" x14ac:dyDescent="0.35">
      <c r="A226">
        <v>732480009</v>
      </c>
      <c r="B226" t="s">
        <v>272</v>
      </c>
      <c r="C226" t="s">
        <v>92</v>
      </c>
      <c r="D226" t="s">
        <v>270</v>
      </c>
      <c r="E226" s="30" t="s">
        <v>14</v>
      </c>
      <c r="F226" s="31">
        <v>0</v>
      </c>
      <c r="G226" s="31">
        <v>0</v>
      </c>
      <c r="H226" s="31">
        <v>0</v>
      </c>
      <c r="I226" s="31">
        <v>1</v>
      </c>
      <c r="J226" s="31">
        <f t="shared" si="16"/>
        <v>1</v>
      </c>
      <c r="K226" s="28">
        <v>1248000</v>
      </c>
      <c r="L226" s="29">
        <v>0.45</v>
      </c>
      <c r="M226" s="31">
        <f t="shared" si="17"/>
        <v>561600</v>
      </c>
      <c r="N226" s="28">
        <f t="shared" si="15"/>
        <v>686400</v>
      </c>
      <c r="O226" s="28">
        <v>998400</v>
      </c>
    </row>
    <row r="227" spans="1:15" x14ac:dyDescent="0.35">
      <c r="A227">
        <v>732481008</v>
      </c>
      <c r="B227" t="s">
        <v>274</v>
      </c>
      <c r="C227" t="s">
        <v>92</v>
      </c>
      <c r="D227" t="s">
        <v>270</v>
      </c>
      <c r="E227" s="30" t="s">
        <v>14</v>
      </c>
      <c r="F227" s="31">
        <v>0</v>
      </c>
      <c r="G227" s="31">
        <v>0</v>
      </c>
      <c r="H227" s="31">
        <v>0</v>
      </c>
      <c r="I227" s="31">
        <v>2</v>
      </c>
      <c r="J227" s="31">
        <f t="shared" si="16"/>
        <v>2</v>
      </c>
      <c r="K227" s="28">
        <v>948000</v>
      </c>
      <c r="L227" s="29">
        <v>0.45</v>
      </c>
      <c r="M227" s="31">
        <f t="shared" si="17"/>
        <v>426600</v>
      </c>
      <c r="N227" s="28">
        <f t="shared" si="15"/>
        <v>521400.00000000006</v>
      </c>
      <c r="O227" s="28">
        <v>758400</v>
      </c>
    </row>
    <row r="228" spans="1:15" x14ac:dyDescent="0.35">
      <c r="A228">
        <v>732481012</v>
      </c>
      <c r="B228" t="s">
        <v>275</v>
      </c>
      <c r="C228" t="s">
        <v>92</v>
      </c>
      <c r="D228" t="s">
        <v>270</v>
      </c>
      <c r="E228" s="30" t="s">
        <v>14</v>
      </c>
      <c r="F228" s="31">
        <v>0</v>
      </c>
      <c r="G228" s="31">
        <v>0</v>
      </c>
      <c r="H228" s="31">
        <v>0</v>
      </c>
      <c r="I228" s="31">
        <v>1</v>
      </c>
      <c r="J228" s="31">
        <f t="shared" si="16"/>
        <v>1</v>
      </c>
      <c r="K228" s="28">
        <v>948000</v>
      </c>
      <c r="L228" s="29">
        <v>0.45</v>
      </c>
      <c r="M228" s="31">
        <f t="shared" si="17"/>
        <v>426600</v>
      </c>
      <c r="N228" s="28">
        <f t="shared" si="15"/>
        <v>521400.00000000006</v>
      </c>
      <c r="O228" s="28">
        <v>758400</v>
      </c>
    </row>
    <row r="229" spans="1:15" x14ac:dyDescent="0.35">
      <c r="A229">
        <v>732481014</v>
      </c>
      <c r="B229" t="s">
        <v>273</v>
      </c>
      <c r="C229" t="s">
        <v>92</v>
      </c>
      <c r="D229" t="s">
        <v>270</v>
      </c>
      <c r="E229" s="30" t="s">
        <v>14</v>
      </c>
      <c r="F229" s="31">
        <v>0</v>
      </c>
      <c r="G229" s="31">
        <v>0</v>
      </c>
      <c r="H229" s="31">
        <v>0</v>
      </c>
      <c r="I229" s="31">
        <v>3</v>
      </c>
      <c r="J229" s="31">
        <f t="shared" si="16"/>
        <v>3</v>
      </c>
      <c r="K229" s="28">
        <v>948000</v>
      </c>
      <c r="L229" s="29">
        <v>0.45</v>
      </c>
      <c r="M229" s="31">
        <f t="shared" si="17"/>
        <v>426600</v>
      </c>
      <c r="N229" s="28">
        <f t="shared" si="15"/>
        <v>521400.00000000006</v>
      </c>
      <c r="O229" s="28">
        <v>758400</v>
      </c>
    </row>
    <row r="230" spans="1:15" x14ac:dyDescent="0.35">
      <c r="A230">
        <v>732481015</v>
      </c>
      <c r="B230" t="s">
        <v>276</v>
      </c>
      <c r="C230" t="s">
        <v>92</v>
      </c>
      <c r="D230" t="s">
        <v>270</v>
      </c>
      <c r="E230" s="30" t="s">
        <v>14</v>
      </c>
      <c r="F230" s="31">
        <v>0</v>
      </c>
      <c r="G230" s="31">
        <v>0</v>
      </c>
      <c r="H230" s="31">
        <v>0</v>
      </c>
      <c r="I230" s="31">
        <v>2</v>
      </c>
      <c r="J230" s="31">
        <f t="shared" si="16"/>
        <v>2</v>
      </c>
      <c r="K230" s="28">
        <v>948000</v>
      </c>
      <c r="L230" s="29">
        <v>0.45</v>
      </c>
      <c r="M230" s="31">
        <f t="shared" si="17"/>
        <v>426600</v>
      </c>
      <c r="N230" s="28">
        <f t="shared" si="15"/>
        <v>521400.00000000006</v>
      </c>
      <c r="O230" s="28">
        <v>758400</v>
      </c>
    </row>
    <row r="231" spans="1:15" x14ac:dyDescent="0.35">
      <c r="A231">
        <v>733238002</v>
      </c>
      <c r="B231" t="s">
        <v>277</v>
      </c>
      <c r="C231" t="s">
        <v>92</v>
      </c>
      <c r="D231" t="s">
        <v>270</v>
      </c>
      <c r="E231" s="30" t="s">
        <v>14</v>
      </c>
      <c r="F231" s="31">
        <v>0</v>
      </c>
      <c r="G231" s="31">
        <v>0</v>
      </c>
      <c r="H231" s="31">
        <v>0</v>
      </c>
      <c r="I231" s="31">
        <v>2</v>
      </c>
      <c r="J231" s="31">
        <f t="shared" si="16"/>
        <v>2</v>
      </c>
      <c r="K231" s="28">
        <v>848000</v>
      </c>
      <c r="L231" s="29">
        <v>0.45</v>
      </c>
      <c r="M231" s="31">
        <f t="shared" si="17"/>
        <v>381600</v>
      </c>
      <c r="N231" s="28">
        <f t="shared" si="15"/>
        <v>466400.00000000006</v>
      </c>
      <c r="O231" s="28">
        <v>678400</v>
      </c>
    </row>
    <row r="232" spans="1:15" x14ac:dyDescent="0.35">
      <c r="A232">
        <v>733238004</v>
      </c>
      <c r="B232" t="s">
        <v>278</v>
      </c>
      <c r="C232" t="s">
        <v>92</v>
      </c>
      <c r="D232" t="s">
        <v>270</v>
      </c>
      <c r="E232" s="30" t="s">
        <v>14</v>
      </c>
      <c r="F232" s="31">
        <v>0</v>
      </c>
      <c r="G232" s="31">
        <v>0</v>
      </c>
      <c r="H232" s="31">
        <v>0</v>
      </c>
      <c r="I232" s="31">
        <v>3</v>
      </c>
      <c r="J232" s="31">
        <f t="shared" si="16"/>
        <v>3</v>
      </c>
      <c r="K232" s="28">
        <v>848000</v>
      </c>
      <c r="L232" s="29">
        <v>0.45</v>
      </c>
      <c r="M232" s="31">
        <f t="shared" si="17"/>
        <v>381600</v>
      </c>
      <c r="N232" s="28">
        <f t="shared" si="15"/>
        <v>466400.00000000006</v>
      </c>
      <c r="O232" s="28">
        <v>678400</v>
      </c>
    </row>
    <row r="233" spans="1:15" x14ac:dyDescent="0.35">
      <c r="A233">
        <v>734401001</v>
      </c>
      <c r="B233" t="s">
        <v>299</v>
      </c>
      <c r="C233" t="s">
        <v>92</v>
      </c>
      <c r="D233" t="s">
        <v>270</v>
      </c>
      <c r="E233" s="30" t="s">
        <v>14</v>
      </c>
      <c r="F233" s="31">
        <v>0</v>
      </c>
      <c r="G233" s="31">
        <v>0</v>
      </c>
      <c r="H233" s="31">
        <v>0</v>
      </c>
      <c r="I233" s="31">
        <v>1</v>
      </c>
      <c r="J233" s="31">
        <f t="shared" si="16"/>
        <v>1</v>
      </c>
      <c r="K233" s="28">
        <v>3498000</v>
      </c>
      <c r="L233" s="29">
        <v>0.45</v>
      </c>
      <c r="M233" s="31">
        <f t="shared" si="17"/>
        <v>1574100</v>
      </c>
      <c r="N233" s="28">
        <f t="shared" si="15"/>
        <v>1923900.0000000002</v>
      </c>
      <c r="O233" s="28">
        <v>2798400</v>
      </c>
    </row>
    <row r="234" spans="1:15" x14ac:dyDescent="0.35">
      <c r="A234">
        <v>735373013</v>
      </c>
      <c r="B234" t="s">
        <v>292</v>
      </c>
      <c r="C234" t="s">
        <v>92</v>
      </c>
      <c r="D234" t="s">
        <v>270</v>
      </c>
      <c r="E234" s="30" t="s">
        <v>14</v>
      </c>
      <c r="F234" s="31">
        <v>0</v>
      </c>
      <c r="G234" s="31">
        <v>0</v>
      </c>
      <c r="H234" s="31">
        <v>0</v>
      </c>
      <c r="I234" s="31">
        <v>2</v>
      </c>
      <c r="J234" s="31">
        <f t="shared" si="16"/>
        <v>2</v>
      </c>
      <c r="K234" s="28">
        <v>1648000</v>
      </c>
      <c r="L234" s="29">
        <v>0.45</v>
      </c>
      <c r="M234" s="31">
        <f t="shared" si="17"/>
        <v>741600</v>
      </c>
      <c r="N234" s="28">
        <f t="shared" si="15"/>
        <v>906400.00000000012</v>
      </c>
      <c r="O234" s="28">
        <v>1318400</v>
      </c>
    </row>
    <row r="235" spans="1:15" x14ac:dyDescent="0.35">
      <c r="A235">
        <v>735373021</v>
      </c>
      <c r="B235" t="s">
        <v>652</v>
      </c>
      <c r="C235" t="s">
        <v>92</v>
      </c>
      <c r="D235" t="s">
        <v>270</v>
      </c>
      <c r="E235" s="30" t="s">
        <v>14</v>
      </c>
      <c r="F235" s="31">
        <v>0</v>
      </c>
      <c r="G235" s="31">
        <v>0</v>
      </c>
      <c r="H235" s="31">
        <v>0</v>
      </c>
      <c r="I235" s="31">
        <v>1</v>
      </c>
      <c r="J235" s="31">
        <f t="shared" si="16"/>
        <v>1</v>
      </c>
      <c r="K235" s="28">
        <v>1648000</v>
      </c>
      <c r="L235" s="29">
        <v>0.45</v>
      </c>
      <c r="M235" s="31">
        <f t="shared" si="17"/>
        <v>741600</v>
      </c>
      <c r="N235" s="28">
        <f t="shared" si="15"/>
        <v>906400.00000000012</v>
      </c>
      <c r="O235" s="28">
        <v>1318400</v>
      </c>
    </row>
    <row r="236" spans="1:15" x14ac:dyDescent="0.35">
      <c r="A236">
        <v>735373023</v>
      </c>
      <c r="B236" t="s">
        <v>653</v>
      </c>
      <c r="C236" t="s">
        <v>92</v>
      </c>
      <c r="D236" t="s">
        <v>270</v>
      </c>
      <c r="E236" s="30" t="s">
        <v>14</v>
      </c>
      <c r="F236" s="31">
        <v>0</v>
      </c>
      <c r="G236" s="31">
        <v>0</v>
      </c>
      <c r="H236" s="31">
        <v>2</v>
      </c>
      <c r="I236" s="31">
        <v>11</v>
      </c>
      <c r="J236" s="31">
        <f t="shared" si="16"/>
        <v>13</v>
      </c>
      <c r="K236" s="28">
        <v>1648000</v>
      </c>
      <c r="L236" s="29">
        <v>0.45</v>
      </c>
      <c r="M236" s="31">
        <f t="shared" si="17"/>
        <v>741600</v>
      </c>
      <c r="N236" s="28">
        <f t="shared" si="15"/>
        <v>906400.00000000012</v>
      </c>
      <c r="O236" s="28">
        <v>1318400</v>
      </c>
    </row>
    <row r="237" spans="1:15" x14ac:dyDescent="0.35">
      <c r="A237">
        <v>735373026</v>
      </c>
      <c r="B237" t="s">
        <v>294</v>
      </c>
      <c r="C237" t="s">
        <v>92</v>
      </c>
      <c r="D237" t="s">
        <v>270</v>
      </c>
      <c r="E237" s="30" t="s">
        <v>14</v>
      </c>
      <c r="F237" s="31">
        <v>0</v>
      </c>
      <c r="G237" s="31">
        <v>0</v>
      </c>
      <c r="H237" s="31">
        <v>0</v>
      </c>
      <c r="I237" s="31">
        <v>1</v>
      </c>
      <c r="J237" s="31">
        <f t="shared" si="16"/>
        <v>1</v>
      </c>
      <c r="K237" s="28">
        <v>1648000</v>
      </c>
      <c r="L237" s="29">
        <v>0.45</v>
      </c>
      <c r="M237" s="31">
        <f t="shared" si="17"/>
        <v>741600</v>
      </c>
      <c r="N237" s="28">
        <f t="shared" si="15"/>
        <v>906400.00000000012</v>
      </c>
      <c r="O237" s="28">
        <v>1318400</v>
      </c>
    </row>
    <row r="238" spans="1:15" x14ac:dyDescent="0.35">
      <c r="A238">
        <v>735373027</v>
      </c>
      <c r="B238" t="s">
        <v>654</v>
      </c>
      <c r="C238" t="s">
        <v>92</v>
      </c>
      <c r="D238" t="s">
        <v>270</v>
      </c>
      <c r="E238" s="30" t="s">
        <v>14</v>
      </c>
      <c r="F238" s="31">
        <v>0</v>
      </c>
      <c r="G238" s="31">
        <v>0</v>
      </c>
      <c r="H238" s="31">
        <v>0</v>
      </c>
      <c r="I238" s="31">
        <v>4</v>
      </c>
      <c r="J238" s="31">
        <f t="shared" si="16"/>
        <v>4</v>
      </c>
      <c r="K238" s="28">
        <v>1648000</v>
      </c>
      <c r="L238" s="29">
        <v>0.45</v>
      </c>
      <c r="M238" s="31">
        <f t="shared" si="17"/>
        <v>741600</v>
      </c>
      <c r="N238" s="28">
        <f t="shared" si="15"/>
        <v>906400.00000000012</v>
      </c>
      <c r="O238" s="28">
        <v>1318400</v>
      </c>
    </row>
    <row r="239" spans="1:15" x14ac:dyDescent="0.35">
      <c r="A239">
        <v>735373028</v>
      </c>
      <c r="B239" t="s">
        <v>655</v>
      </c>
      <c r="C239" t="s">
        <v>92</v>
      </c>
      <c r="D239" t="s">
        <v>270</v>
      </c>
      <c r="E239" s="30" t="s">
        <v>14</v>
      </c>
      <c r="F239" s="31">
        <v>0</v>
      </c>
      <c r="G239" s="31">
        <v>0</v>
      </c>
      <c r="H239" s="31">
        <v>2</v>
      </c>
      <c r="I239" s="31">
        <v>6</v>
      </c>
      <c r="J239" s="31">
        <f t="shared" si="16"/>
        <v>8</v>
      </c>
      <c r="K239" s="28">
        <v>1648000</v>
      </c>
      <c r="L239" s="29">
        <v>0.45</v>
      </c>
      <c r="M239" s="31">
        <f t="shared" si="17"/>
        <v>741600</v>
      </c>
      <c r="N239" s="28">
        <f t="shared" si="15"/>
        <v>906400.00000000012</v>
      </c>
      <c r="O239" s="28">
        <v>1318400</v>
      </c>
    </row>
    <row r="240" spans="1:15" x14ac:dyDescent="0.35">
      <c r="A240">
        <v>735373031</v>
      </c>
      <c r="B240" t="s">
        <v>293</v>
      </c>
      <c r="C240" t="s">
        <v>92</v>
      </c>
      <c r="D240" t="s">
        <v>270</v>
      </c>
      <c r="E240" s="30" t="s">
        <v>14</v>
      </c>
      <c r="F240" s="31">
        <v>0</v>
      </c>
      <c r="G240" s="31">
        <v>0</v>
      </c>
      <c r="H240" s="31">
        <v>0</v>
      </c>
      <c r="I240" s="31">
        <v>1</v>
      </c>
      <c r="J240" s="31">
        <f t="shared" si="16"/>
        <v>1</v>
      </c>
      <c r="K240" s="28">
        <v>1648000</v>
      </c>
      <c r="L240" s="29">
        <v>0.45</v>
      </c>
      <c r="M240" s="31">
        <f t="shared" si="17"/>
        <v>741600</v>
      </c>
      <c r="N240" s="28">
        <f t="shared" si="15"/>
        <v>906400.00000000012</v>
      </c>
      <c r="O240" s="28">
        <v>1318400</v>
      </c>
    </row>
    <row r="241" spans="1:15" x14ac:dyDescent="0.35">
      <c r="A241">
        <v>735373032</v>
      </c>
      <c r="B241" t="s">
        <v>656</v>
      </c>
      <c r="C241" t="s">
        <v>92</v>
      </c>
      <c r="D241" t="s">
        <v>270</v>
      </c>
      <c r="E241" s="30" t="s">
        <v>14</v>
      </c>
      <c r="F241" s="31">
        <v>0</v>
      </c>
      <c r="G241" s="31">
        <v>0</v>
      </c>
      <c r="H241" s="31">
        <v>0</v>
      </c>
      <c r="I241" s="31">
        <v>5</v>
      </c>
      <c r="J241" s="31">
        <f t="shared" si="16"/>
        <v>5</v>
      </c>
      <c r="K241" s="28">
        <v>1648000</v>
      </c>
      <c r="L241" s="29">
        <v>0.45</v>
      </c>
      <c r="M241" s="31">
        <f t="shared" si="17"/>
        <v>741600</v>
      </c>
      <c r="N241" s="28">
        <f t="shared" si="15"/>
        <v>906400.00000000012</v>
      </c>
      <c r="O241" s="28">
        <v>1318400</v>
      </c>
    </row>
    <row r="242" spans="1:15" x14ac:dyDescent="0.35">
      <c r="A242">
        <v>735373034</v>
      </c>
      <c r="B242" t="s">
        <v>295</v>
      </c>
      <c r="C242" t="s">
        <v>92</v>
      </c>
      <c r="D242" t="s">
        <v>270</v>
      </c>
      <c r="E242" s="30" t="s">
        <v>14</v>
      </c>
      <c r="F242" s="31">
        <v>0</v>
      </c>
      <c r="G242" s="31">
        <v>0</v>
      </c>
      <c r="H242" s="31">
        <v>0</v>
      </c>
      <c r="I242" s="31">
        <v>4</v>
      </c>
      <c r="J242" s="31">
        <f t="shared" si="16"/>
        <v>4</v>
      </c>
      <c r="K242" s="28">
        <v>1648000</v>
      </c>
      <c r="L242" s="29">
        <v>0.45</v>
      </c>
      <c r="M242" s="31">
        <f t="shared" si="17"/>
        <v>741600</v>
      </c>
      <c r="N242" s="28">
        <f t="shared" si="15"/>
        <v>906400.00000000012</v>
      </c>
      <c r="O242" s="28">
        <v>1318400</v>
      </c>
    </row>
    <row r="243" spans="1:15" x14ac:dyDescent="0.35">
      <c r="A243">
        <v>735374012</v>
      </c>
      <c r="B243" t="s">
        <v>657</v>
      </c>
      <c r="C243" t="s">
        <v>92</v>
      </c>
      <c r="D243" t="s">
        <v>270</v>
      </c>
      <c r="E243" s="30">
        <v>0</v>
      </c>
      <c r="F243" s="31">
        <v>11</v>
      </c>
      <c r="G243" s="31">
        <v>13</v>
      </c>
      <c r="H243" s="31">
        <v>7</v>
      </c>
      <c r="I243" s="31">
        <v>23</v>
      </c>
      <c r="J243" s="31">
        <f t="shared" si="16"/>
        <v>54</v>
      </c>
      <c r="K243" s="28">
        <v>1648000</v>
      </c>
      <c r="L243" s="29">
        <v>0.45</v>
      </c>
      <c r="M243" s="31">
        <f t="shared" si="17"/>
        <v>741600</v>
      </c>
      <c r="N243" s="28">
        <f t="shared" si="15"/>
        <v>906400.00000000012</v>
      </c>
      <c r="O243" s="28">
        <v>1318400</v>
      </c>
    </row>
    <row r="244" spans="1:15" x14ac:dyDescent="0.35">
      <c r="A244">
        <v>735374013</v>
      </c>
      <c r="B244" t="s">
        <v>658</v>
      </c>
      <c r="C244" t="s">
        <v>92</v>
      </c>
      <c r="D244" t="s">
        <v>270</v>
      </c>
      <c r="E244" s="30">
        <v>0</v>
      </c>
      <c r="F244" s="31">
        <v>3</v>
      </c>
      <c r="G244" s="31">
        <v>5</v>
      </c>
      <c r="H244" s="31">
        <v>8</v>
      </c>
      <c r="I244" s="31">
        <v>29</v>
      </c>
      <c r="J244" s="31">
        <f t="shared" si="16"/>
        <v>45</v>
      </c>
      <c r="K244" s="28">
        <v>1648000</v>
      </c>
      <c r="L244" s="29">
        <v>0.45</v>
      </c>
      <c r="M244" s="31">
        <f t="shared" si="17"/>
        <v>741600</v>
      </c>
      <c r="N244" s="28">
        <f t="shared" si="15"/>
        <v>906400.00000000012</v>
      </c>
      <c r="O244" s="28">
        <v>1318400</v>
      </c>
    </row>
    <row r="245" spans="1:15" x14ac:dyDescent="0.35">
      <c r="A245">
        <v>735374016</v>
      </c>
      <c r="B245" t="s">
        <v>659</v>
      </c>
      <c r="C245" t="s">
        <v>92</v>
      </c>
      <c r="D245" t="s">
        <v>270</v>
      </c>
      <c r="E245" s="30">
        <v>0</v>
      </c>
      <c r="F245" s="31">
        <v>8</v>
      </c>
      <c r="G245" s="31">
        <v>18</v>
      </c>
      <c r="H245" s="31">
        <v>8</v>
      </c>
      <c r="I245" s="31">
        <v>27</v>
      </c>
      <c r="J245" s="31">
        <f t="shared" si="16"/>
        <v>61</v>
      </c>
      <c r="K245" s="28">
        <v>1648000</v>
      </c>
      <c r="L245" s="29">
        <v>0.45</v>
      </c>
      <c r="M245" s="31">
        <f t="shared" si="17"/>
        <v>741600</v>
      </c>
      <c r="N245" s="28">
        <f t="shared" si="15"/>
        <v>906400.00000000012</v>
      </c>
      <c r="O245" s="28">
        <v>1318400</v>
      </c>
    </row>
    <row r="246" spans="1:15" x14ac:dyDescent="0.35">
      <c r="A246">
        <v>735374017</v>
      </c>
      <c r="B246" t="s">
        <v>660</v>
      </c>
      <c r="C246" t="s">
        <v>92</v>
      </c>
      <c r="D246" t="s">
        <v>270</v>
      </c>
      <c r="E246" s="30">
        <v>0</v>
      </c>
      <c r="F246" s="31">
        <v>37</v>
      </c>
      <c r="G246" s="31">
        <v>6</v>
      </c>
      <c r="H246" s="31">
        <v>6</v>
      </c>
      <c r="I246" s="31">
        <v>26</v>
      </c>
      <c r="J246" s="31">
        <f t="shared" si="16"/>
        <v>75</v>
      </c>
      <c r="K246" s="28">
        <v>1648000</v>
      </c>
      <c r="L246" s="29">
        <v>0.45</v>
      </c>
      <c r="M246" s="31">
        <f t="shared" si="17"/>
        <v>741600</v>
      </c>
      <c r="N246" s="28">
        <f t="shared" si="15"/>
        <v>906400.00000000012</v>
      </c>
      <c r="O246" s="28">
        <v>1318400</v>
      </c>
    </row>
    <row r="247" spans="1:15" x14ac:dyDescent="0.35">
      <c r="A247">
        <v>735374018</v>
      </c>
      <c r="B247" t="s">
        <v>290</v>
      </c>
      <c r="C247" t="s">
        <v>92</v>
      </c>
      <c r="D247" t="s">
        <v>270</v>
      </c>
      <c r="E247" s="30" t="s">
        <v>14</v>
      </c>
      <c r="F247" s="31">
        <v>0</v>
      </c>
      <c r="G247" s="31">
        <v>0</v>
      </c>
      <c r="H247" s="31">
        <v>0</v>
      </c>
      <c r="I247" s="31">
        <v>1</v>
      </c>
      <c r="J247" s="31">
        <f t="shared" si="16"/>
        <v>1</v>
      </c>
      <c r="K247" s="28">
        <v>1648000</v>
      </c>
      <c r="L247" s="29">
        <v>0.45</v>
      </c>
      <c r="M247" s="31">
        <f t="shared" si="17"/>
        <v>741600</v>
      </c>
      <c r="N247" s="28">
        <f t="shared" si="15"/>
        <v>906400.00000000012</v>
      </c>
      <c r="O247" s="28">
        <v>1318400</v>
      </c>
    </row>
    <row r="248" spans="1:15" x14ac:dyDescent="0.35">
      <c r="A248">
        <v>735375007</v>
      </c>
      <c r="B248" t="s">
        <v>296</v>
      </c>
      <c r="C248" t="s">
        <v>92</v>
      </c>
      <c r="D248" t="s">
        <v>270</v>
      </c>
      <c r="E248" s="30" t="s">
        <v>14</v>
      </c>
      <c r="F248" s="31">
        <v>0</v>
      </c>
      <c r="G248" s="31">
        <v>0</v>
      </c>
      <c r="H248" s="31">
        <v>0</v>
      </c>
      <c r="I248" s="31">
        <v>1</v>
      </c>
      <c r="J248" s="31">
        <f t="shared" si="16"/>
        <v>1</v>
      </c>
      <c r="K248" s="28">
        <v>2298000</v>
      </c>
      <c r="L248" s="29">
        <v>0.45</v>
      </c>
      <c r="M248" s="31">
        <f t="shared" si="17"/>
        <v>1034100</v>
      </c>
      <c r="N248" s="28">
        <f t="shared" si="15"/>
        <v>1263900</v>
      </c>
      <c r="O248" s="28">
        <v>1838400</v>
      </c>
    </row>
    <row r="249" spans="1:15" x14ac:dyDescent="0.35">
      <c r="A249">
        <v>735375012</v>
      </c>
      <c r="B249" t="s">
        <v>661</v>
      </c>
      <c r="C249" t="s">
        <v>92</v>
      </c>
      <c r="D249" t="s">
        <v>270</v>
      </c>
      <c r="E249" s="30" t="s">
        <v>14</v>
      </c>
      <c r="F249" s="31">
        <v>0</v>
      </c>
      <c r="G249" s="31">
        <v>0</v>
      </c>
      <c r="H249" s="31">
        <v>1</v>
      </c>
      <c r="I249" s="31">
        <v>3</v>
      </c>
      <c r="J249" s="31">
        <f t="shared" si="16"/>
        <v>4</v>
      </c>
      <c r="K249" s="28">
        <v>2298000</v>
      </c>
      <c r="L249" s="29">
        <v>0.45</v>
      </c>
      <c r="M249" s="31">
        <f t="shared" si="17"/>
        <v>1034100</v>
      </c>
      <c r="N249" s="28">
        <f t="shared" si="15"/>
        <v>1263900</v>
      </c>
      <c r="O249" s="28">
        <v>1838400</v>
      </c>
    </row>
    <row r="250" spans="1:15" x14ac:dyDescent="0.35">
      <c r="A250">
        <v>735375015</v>
      </c>
      <c r="B250" t="s">
        <v>662</v>
      </c>
      <c r="C250" t="s">
        <v>92</v>
      </c>
      <c r="D250" t="s">
        <v>270</v>
      </c>
      <c r="E250" s="30" t="s">
        <v>14</v>
      </c>
      <c r="F250" s="31">
        <v>0</v>
      </c>
      <c r="G250" s="31">
        <v>0</v>
      </c>
      <c r="H250" s="31">
        <v>1</v>
      </c>
      <c r="I250" s="31">
        <v>2</v>
      </c>
      <c r="J250" s="31">
        <f t="shared" si="16"/>
        <v>3</v>
      </c>
      <c r="K250" s="28">
        <v>2298000</v>
      </c>
      <c r="L250" s="29">
        <v>0.45</v>
      </c>
      <c r="M250" s="31">
        <f t="shared" si="17"/>
        <v>1034100</v>
      </c>
      <c r="N250" s="28">
        <f t="shared" si="15"/>
        <v>1263900</v>
      </c>
      <c r="O250" s="28">
        <v>1838400</v>
      </c>
    </row>
    <row r="251" spans="1:15" x14ac:dyDescent="0.35">
      <c r="A251">
        <v>735375016</v>
      </c>
      <c r="B251" t="s">
        <v>663</v>
      </c>
      <c r="C251" t="s">
        <v>92</v>
      </c>
      <c r="D251" t="s">
        <v>270</v>
      </c>
      <c r="E251" s="30" t="s">
        <v>14</v>
      </c>
      <c r="F251" s="31">
        <v>0</v>
      </c>
      <c r="G251" s="31">
        <v>8</v>
      </c>
      <c r="H251" s="31">
        <v>2</v>
      </c>
      <c r="I251" s="31">
        <v>3</v>
      </c>
      <c r="J251" s="31">
        <f t="shared" si="16"/>
        <v>13</v>
      </c>
      <c r="K251" s="28">
        <v>2298000</v>
      </c>
      <c r="L251" s="29">
        <v>0.45</v>
      </c>
      <c r="M251" s="31">
        <f t="shared" si="17"/>
        <v>1034100</v>
      </c>
      <c r="N251" s="28">
        <f t="shared" si="15"/>
        <v>1263900</v>
      </c>
      <c r="O251" s="28">
        <v>1838400</v>
      </c>
    </row>
    <row r="252" spans="1:15" x14ac:dyDescent="0.35">
      <c r="A252">
        <v>735375017</v>
      </c>
      <c r="B252" t="s">
        <v>664</v>
      </c>
      <c r="C252" t="s">
        <v>92</v>
      </c>
      <c r="D252" t="s">
        <v>270</v>
      </c>
      <c r="E252" s="30" t="s">
        <v>14</v>
      </c>
      <c r="F252" s="31">
        <v>0</v>
      </c>
      <c r="G252" s="31">
        <v>0</v>
      </c>
      <c r="H252" s="31">
        <v>3</v>
      </c>
      <c r="I252" s="31">
        <v>2</v>
      </c>
      <c r="J252" s="31">
        <f t="shared" si="16"/>
        <v>5</v>
      </c>
      <c r="K252" s="28">
        <v>2298000</v>
      </c>
      <c r="L252" s="29">
        <v>0.45</v>
      </c>
      <c r="M252" s="31">
        <f t="shared" si="17"/>
        <v>1034100</v>
      </c>
      <c r="N252" s="28">
        <f t="shared" si="15"/>
        <v>1263900</v>
      </c>
      <c r="O252" s="28">
        <v>1838400</v>
      </c>
    </row>
    <row r="253" spans="1:15" x14ac:dyDescent="0.35">
      <c r="A253">
        <v>735375018</v>
      </c>
      <c r="B253" t="s">
        <v>665</v>
      </c>
      <c r="C253" t="s">
        <v>92</v>
      </c>
      <c r="D253" t="s">
        <v>270</v>
      </c>
      <c r="E253" s="30" t="s">
        <v>14</v>
      </c>
      <c r="F253" s="31">
        <v>0</v>
      </c>
      <c r="G253" s="31">
        <v>0</v>
      </c>
      <c r="H253" s="31">
        <v>3</v>
      </c>
      <c r="I253" s="31">
        <v>2</v>
      </c>
      <c r="J253" s="31">
        <f t="shared" si="16"/>
        <v>5</v>
      </c>
      <c r="K253" s="28">
        <v>2298000</v>
      </c>
      <c r="L253" s="29">
        <v>0.45</v>
      </c>
      <c r="M253" s="31">
        <f t="shared" si="17"/>
        <v>1034100</v>
      </c>
      <c r="N253" s="28">
        <f t="shared" si="15"/>
        <v>1263900</v>
      </c>
      <c r="O253" s="28">
        <v>1838400</v>
      </c>
    </row>
    <row r="254" spans="1:15" x14ac:dyDescent="0.35">
      <c r="A254">
        <v>735375028</v>
      </c>
      <c r="B254" t="s">
        <v>666</v>
      </c>
      <c r="C254" t="s">
        <v>92</v>
      </c>
      <c r="D254" t="s">
        <v>270</v>
      </c>
      <c r="E254" s="30" t="s">
        <v>14</v>
      </c>
      <c r="F254" s="31">
        <v>0</v>
      </c>
      <c r="G254" s="31">
        <v>0</v>
      </c>
      <c r="H254" s="31">
        <v>1</v>
      </c>
      <c r="I254" s="31">
        <v>10</v>
      </c>
      <c r="J254" s="31">
        <f t="shared" si="16"/>
        <v>11</v>
      </c>
      <c r="K254" s="28">
        <v>2298000</v>
      </c>
      <c r="L254" s="29">
        <v>0.45</v>
      </c>
      <c r="M254" s="31">
        <f t="shared" si="17"/>
        <v>1034100</v>
      </c>
      <c r="N254" s="28">
        <f t="shared" si="15"/>
        <v>1263900</v>
      </c>
      <c r="O254" s="28">
        <v>1838400</v>
      </c>
    </row>
    <row r="255" spans="1:15" x14ac:dyDescent="0.35">
      <c r="A255">
        <v>735375031</v>
      </c>
      <c r="B255" t="s">
        <v>298</v>
      </c>
      <c r="C255" t="s">
        <v>92</v>
      </c>
      <c r="D255" t="s">
        <v>270</v>
      </c>
      <c r="E255" s="30" t="s">
        <v>14</v>
      </c>
      <c r="F255" s="31">
        <v>0</v>
      </c>
      <c r="G255" s="31">
        <v>0</v>
      </c>
      <c r="H255" s="31">
        <v>0</v>
      </c>
      <c r="I255" s="31">
        <v>1</v>
      </c>
      <c r="J255" s="31">
        <f t="shared" si="16"/>
        <v>1</v>
      </c>
      <c r="K255" s="28">
        <v>2298000</v>
      </c>
      <c r="L255" s="29">
        <v>0.45</v>
      </c>
      <c r="M255" s="31">
        <f t="shared" si="17"/>
        <v>1034100</v>
      </c>
      <c r="N255" s="28">
        <f t="shared" si="15"/>
        <v>1263900</v>
      </c>
      <c r="O255" s="28">
        <v>1838400</v>
      </c>
    </row>
    <row r="256" spans="1:15" x14ac:dyDescent="0.35">
      <c r="A256">
        <v>735375032</v>
      </c>
      <c r="B256" t="s">
        <v>667</v>
      </c>
      <c r="C256" t="s">
        <v>92</v>
      </c>
      <c r="D256" t="s">
        <v>270</v>
      </c>
      <c r="E256" s="30" t="s">
        <v>14</v>
      </c>
      <c r="F256" s="31">
        <v>0</v>
      </c>
      <c r="G256" s="31">
        <v>0</v>
      </c>
      <c r="H256" s="31">
        <v>4</v>
      </c>
      <c r="I256" s="31">
        <v>3</v>
      </c>
      <c r="J256" s="31">
        <f t="shared" si="16"/>
        <v>7</v>
      </c>
      <c r="K256" s="28">
        <v>2298000</v>
      </c>
      <c r="L256" s="29">
        <v>0.45</v>
      </c>
      <c r="M256" s="31">
        <f t="shared" si="17"/>
        <v>1034100</v>
      </c>
      <c r="N256" s="28">
        <f t="shared" si="15"/>
        <v>1263900</v>
      </c>
      <c r="O256" s="28">
        <v>1838400</v>
      </c>
    </row>
    <row r="257" spans="1:15" x14ac:dyDescent="0.35">
      <c r="A257">
        <v>735375033</v>
      </c>
      <c r="B257" t="s">
        <v>668</v>
      </c>
      <c r="C257" t="s">
        <v>92</v>
      </c>
      <c r="D257" t="s">
        <v>270</v>
      </c>
      <c r="E257" s="30" t="s">
        <v>14</v>
      </c>
      <c r="F257" s="31">
        <v>0</v>
      </c>
      <c r="G257" s="31">
        <v>0</v>
      </c>
      <c r="H257" s="31">
        <v>1</v>
      </c>
      <c r="I257" s="31">
        <v>1</v>
      </c>
      <c r="J257" s="31">
        <f t="shared" si="16"/>
        <v>2</v>
      </c>
      <c r="K257" s="28">
        <v>2298000</v>
      </c>
      <c r="L257" s="29">
        <v>0.45</v>
      </c>
      <c r="M257" s="31">
        <f t="shared" si="17"/>
        <v>1034100</v>
      </c>
      <c r="N257" s="28">
        <f t="shared" si="15"/>
        <v>1263900</v>
      </c>
      <c r="O257" s="28">
        <v>1838400</v>
      </c>
    </row>
    <row r="258" spans="1:15" x14ac:dyDescent="0.35">
      <c r="A258">
        <v>735375034</v>
      </c>
      <c r="B258" t="s">
        <v>669</v>
      </c>
      <c r="C258" t="s">
        <v>92</v>
      </c>
      <c r="D258" t="s">
        <v>270</v>
      </c>
      <c r="E258" s="30" t="s">
        <v>14</v>
      </c>
      <c r="F258" s="31">
        <v>0</v>
      </c>
      <c r="G258" s="31">
        <v>0</v>
      </c>
      <c r="H258" s="31">
        <v>5</v>
      </c>
      <c r="I258" s="31">
        <v>2</v>
      </c>
      <c r="J258" s="31">
        <f t="shared" si="16"/>
        <v>7</v>
      </c>
      <c r="K258" s="28">
        <v>2298000</v>
      </c>
      <c r="L258" s="29">
        <v>0.45</v>
      </c>
      <c r="M258" s="31">
        <f t="shared" si="17"/>
        <v>1034100</v>
      </c>
      <c r="N258" s="28">
        <f t="shared" si="15"/>
        <v>1263900</v>
      </c>
      <c r="O258" s="28">
        <v>1838400</v>
      </c>
    </row>
    <row r="259" spans="1:15" x14ac:dyDescent="0.35">
      <c r="A259">
        <v>735375040</v>
      </c>
      <c r="B259" t="s">
        <v>297</v>
      </c>
      <c r="C259" t="s">
        <v>92</v>
      </c>
      <c r="D259" t="s">
        <v>270</v>
      </c>
      <c r="E259" s="30" t="s">
        <v>14</v>
      </c>
      <c r="F259" s="31">
        <v>0</v>
      </c>
      <c r="G259" s="31">
        <v>0</v>
      </c>
      <c r="H259" s="31">
        <v>0</v>
      </c>
      <c r="I259" s="31">
        <v>1</v>
      </c>
      <c r="J259" s="31">
        <f t="shared" si="16"/>
        <v>1</v>
      </c>
      <c r="K259" s="28">
        <v>2298000</v>
      </c>
      <c r="L259" s="29">
        <v>0.45</v>
      </c>
      <c r="M259" s="31">
        <f t="shared" si="17"/>
        <v>1034100</v>
      </c>
      <c r="N259" s="28">
        <f t="shared" ref="N259:N322" si="18">K259*(1-L259)</f>
        <v>1263900</v>
      </c>
      <c r="O259" s="28">
        <v>1838400</v>
      </c>
    </row>
    <row r="260" spans="1:15" x14ac:dyDescent="0.35">
      <c r="A260">
        <v>735375041</v>
      </c>
      <c r="B260" t="s">
        <v>670</v>
      </c>
      <c r="C260" t="s">
        <v>92</v>
      </c>
      <c r="D260" t="s">
        <v>270</v>
      </c>
      <c r="E260" s="30" t="s">
        <v>14</v>
      </c>
      <c r="F260" s="31">
        <v>0</v>
      </c>
      <c r="G260" s="31">
        <v>0</v>
      </c>
      <c r="H260" s="31">
        <v>2</v>
      </c>
      <c r="I260" s="31">
        <v>1</v>
      </c>
      <c r="J260" s="31">
        <f t="shared" ref="J260:J323" si="19">SUM(F260:I260)</f>
        <v>3</v>
      </c>
      <c r="K260" s="28">
        <v>2298000</v>
      </c>
      <c r="L260" s="29">
        <v>0.45</v>
      </c>
      <c r="M260" s="31">
        <f t="shared" ref="M260:M323" si="20">K260*L260</f>
        <v>1034100</v>
      </c>
      <c r="N260" s="28">
        <f t="shared" si="18"/>
        <v>1263900</v>
      </c>
      <c r="O260" s="28">
        <v>1838400</v>
      </c>
    </row>
    <row r="261" spans="1:15" x14ac:dyDescent="0.35">
      <c r="A261">
        <v>735378020</v>
      </c>
      <c r="B261" t="s">
        <v>671</v>
      </c>
      <c r="C261" t="s">
        <v>92</v>
      </c>
      <c r="D261" t="s">
        <v>270</v>
      </c>
      <c r="E261" s="30" t="s">
        <v>14</v>
      </c>
      <c r="F261" s="31">
        <v>0</v>
      </c>
      <c r="G261" s="31">
        <v>0</v>
      </c>
      <c r="H261" s="31">
        <v>0</v>
      </c>
      <c r="I261" s="31">
        <v>3</v>
      </c>
      <c r="J261" s="31">
        <f t="shared" si="19"/>
        <v>3</v>
      </c>
      <c r="K261" s="28">
        <v>1998000</v>
      </c>
      <c r="L261" s="29">
        <v>0.45</v>
      </c>
      <c r="M261" s="31">
        <f t="shared" si="20"/>
        <v>899100</v>
      </c>
      <c r="N261" s="28">
        <f t="shared" si="18"/>
        <v>1098900</v>
      </c>
      <c r="O261" s="28">
        <v>1598400</v>
      </c>
    </row>
    <row r="262" spans="1:15" x14ac:dyDescent="0.35">
      <c r="A262">
        <v>737878005</v>
      </c>
      <c r="B262" t="s">
        <v>1773</v>
      </c>
      <c r="C262" t="s">
        <v>92</v>
      </c>
      <c r="D262" t="s">
        <v>270</v>
      </c>
      <c r="E262" s="30" t="s">
        <v>14</v>
      </c>
      <c r="F262" s="31">
        <v>0</v>
      </c>
      <c r="G262" s="31">
        <v>0</v>
      </c>
      <c r="H262" s="31">
        <v>0</v>
      </c>
      <c r="I262" s="31">
        <v>2</v>
      </c>
      <c r="J262" s="31">
        <f t="shared" si="19"/>
        <v>2</v>
      </c>
      <c r="K262" s="28">
        <v>4998000</v>
      </c>
      <c r="L262" s="29">
        <v>0.45</v>
      </c>
      <c r="M262" s="31">
        <f t="shared" si="20"/>
        <v>2249100</v>
      </c>
      <c r="N262" s="28">
        <f t="shared" si="18"/>
        <v>2748900</v>
      </c>
    </row>
    <row r="263" spans="1:15" x14ac:dyDescent="0.35">
      <c r="A263">
        <v>737878008</v>
      </c>
      <c r="B263" t="s">
        <v>308</v>
      </c>
      <c r="C263" t="s">
        <v>92</v>
      </c>
      <c r="D263" t="s">
        <v>270</v>
      </c>
      <c r="E263" s="30" t="s">
        <v>14</v>
      </c>
      <c r="F263" s="31">
        <v>0</v>
      </c>
      <c r="G263" s="31">
        <v>0</v>
      </c>
      <c r="H263" s="31">
        <v>0</v>
      </c>
      <c r="I263" s="31">
        <v>1</v>
      </c>
      <c r="J263" s="31">
        <f t="shared" si="19"/>
        <v>1</v>
      </c>
      <c r="K263" s="28">
        <v>4998000</v>
      </c>
      <c r="L263" s="29">
        <v>0.45</v>
      </c>
      <c r="M263" s="31">
        <f t="shared" si="20"/>
        <v>2249100</v>
      </c>
      <c r="N263" s="28">
        <f t="shared" si="18"/>
        <v>2748900</v>
      </c>
    </row>
    <row r="264" spans="1:15" x14ac:dyDescent="0.35">
      <c r="A264">
        <v>737878010</v>
      </c>
      <c r="B264" t="s">
        <v>309</v>
      </c>
      <c r="C264" t="s">
        <v>92</v>
      </c>
      <c r="D264" t="s">
        <v>270</v>
      </c>
      <c r="E264" s="30" t="s">
        <v>14</v>
      </c>
      <c r="F264" s="31">
        <v>0</v>
      </c>
      <c r="G264" s="31">
        <v>0</v>
      </c>
      <c r="H264" s="31">
        <v>0</v>
      </c>
      <c r="I264" s="31">
        <v>2</v>
      </c>
      <c r="J264" s="31">
        <f t="shared" si="19"/>
        <v>2</v>
      </c>
      <c r="K264" s="28">
        <v>4998000</v>
      </c>
      <c r="L264" s="29">
        <v>0.45</v>
      </c>
      <c r="M264" s="31">
        <f t="shared" si="20"/>
        <v>2249100</v>
      </c>
      <c r="N264" s="28">
        <f t="shared" si="18"/>
        <v>2748900</v>
      </c>
    </row>
    <row r="265" spans="1:15" x14ac:dyDescent="0.35">
      <c r="A265">
        <v>739872018</v>
      </c>
      <c r="B265" t="s">
        <v>324</v>
      </c>
      <c r="C265" t="s">
        <v>92</v>
      </c>
      <c r="D265" t="s">
        <v>270</v>
      </c>
      <c r="E265" s="30" t="s">
        <v>14</v>
      </c>
      <c r="F265" s="31">
        <v>0</v>
      </c>
      <c r="G265" s="31">
        <v>0</v>
      </c>
      <c r="H265" s="31">
        <v>0</v>
      </c>
      <c r="I265" s="31">
        <v>5</v>
      </c>
      <c r="J265" s="31">
        <f t="shared" si="19"/>
        <v>5</v>
      </c>
      <c r="K265" s="28">
        <v>4848000</v>
      </c>
      <c r="L265" s="29">
        <v>0.45</v>
      </c>
      <c r="M265" s="31">
        <f t="shared" si="20"/>
        <v>2181600</v>
      </c>
      <c r="N265" s="28">
        <f t="shared" si="18"/>
        <v>2666400</v>
      </c>
    </row>
    <row r="266" spans="1:15" x14ac:dyDescent="0.35">
      <c r="A266">
        <v>739872019</v>
      </c>
      <c r="B266" t="s">
        <v>1774</v>
      </c>
      <c r="C266" t="s">
        <v>92</v>
      </c>
      <c r="D266" t="s">
        <v>270</v>
      </c>
      <c r="E266" s="30" t="s">
        <v>14</v>
      </c>
      <c r="F266" s="31">
        <v>0</v>
      </c>
      <c r="G266" s="31">
        <v>0</v>
      </c>
      <c r="H266" s="31">
        <v>0</v>
      </c>
      <c r="I266" s="31">
        <v>9</v>
      </c>
      <c r="J266" s="31">
        <f t="shared" si="19"/>
        <v>9</v>
      </c>
      <c r="K266" s="28">
        <v>4848000</v>
      </c>
      <c r="L266" s="29">
        <v>0.45</v>
      </c>
      <c r="M266" s="31">
        <f t="shared" si="20"/>
        <v>2181600</v>
      </c>
      <c r="N266" s="28">
        <f t="shared" si="18"/>
        <v>2666400</v>
      </c>
    </row>
    <row r="267" spans="1:15" x14ac:dyDescent="0.35">
      <c r="A267">
        <v>739872020</v>
      </c>
      <c r="B267" t="s">
        <v>1775</v>
      </c>
      <c r="C267" t="s">
        <v>92</v>
      </c>
      <c r="D267" t="s">
        <v>270</v>
      </c>
      <c r="E267" s="30" t="s">
        <v>14</v>
      </c>
      <c r="F267" s="31">
        <v>0</v>
      </c>
      <c r="G267" s="31">
        <v>0</v>
      </c>
      <c r="H267" s="31">
        <v>3</v>
      </c>
      <c r="I267" s="31">
        <v>7</v>
      </c>
      <c r="J267" s="31">
        <f t="shared" si="19"/>
        <v>10</v>
      </c>
      <c r="K267" s="28">
        <v>4848000</v>
      </c>
      <c r="L267" s="29">
        <v>0.45</v>
      </c>
      <c r="M267" s="31">
        <f t="shared" si="20"/>
        <v>2181600</v>
      </c>
      <c r="N267" s="28">
        <f t="shared" si="18"/>
        <v>2666400</v>
      </c>
    </row>
    <row r="268" spans="1:15" x14ac:dyDescent="0.35">
      <c r="A268">
        <v>739872021</v>
      </c>
      <c r="B268" t="s">
        <v>1776</v>
      </c>
      <c r="C268" t="s">
        <v>92</v>
      </c>
      <c r="D268" t="s">
        <v>270</v>
      </c>
      <c r="E268" s="30" t="s">
        <v>14</v>
      </c>
      <c r="F268" s="31">
        <v>0</v>
      </c>
      <c r="G268" s="31">
        <v>0</v>
      </c>
      <c r="H268" s="31">
        <v>2</v>
      </c>
      <c r="I268" s="31">
        <v>5</v>
      </c>
      <c r="J268" s="31">
        <f t="shared" si="19"/>
        <v>7</v>
      </c>
      <c r="K268" s="28">
        <v>4848000</v>
      </c>
      <c r="L268" s="29">
        <v>0.45</v>
      </c>
      <c r="M268" s="31">
        <f t="shared" si="20"/>
        <v>2181600</v>
      </c>
      <c r="N268" s="28">
        <f t="shared" si="18"/>
        <v>2666400</v>
      </c>
    </row>
    <row r="269" spans="1:15" x14ac:dyDescent="0.35">
      <c r="A269">
        <v>709785</v>
      </c>
      <c r="B269" t="s">
        <v>675</v>
      </c>
      <c r="C269" t="s">
        <v>368</v>
      </c>
      <c r="D269" t="s">
        <v>676</v>
      </c>
      <c r="E269" s="30" t="s">
        <v>14</v>
      </c>
      <c r="F269" s="31">
        <v>0</v>
      </c>
      <c r="G269" s="31">
        <v>0</v>
      </c>
      <c r="H269" s="31">
        <v>0</v>
      </c>
      <c r="I269" s="31">
        <v>2</v>
      </c>
      <c r="J269" s="31">
        <f t="shared" si="19"/>
        <v>2</v>
      </c>
      <c r="K269" s="28">
        <v>378000</v>
      </c>
      <c r="L269" s="29">
        <v>0.81</v>
      </c>
      <c r="M269" s="31">
        <f t="shared" si="20"/>
        <v>306180</v>
      </c>
      <c r="N269" s="28">
        <f t="shared" si="18"/>
        <v>71819.999999999985</v>
      </c>
      <c r="O269" s="28">
        <v>113400.00000000001</v>
      </c>
    </row>
    <row r="270" spans="1:15" x14ac:dyDescent="0.35">
      <c r="A270">
        <v>732819</v>
      </c>
      <c r="B270" t="s">
        <v>677</v>
      </c>
      <c r="C270" t="s">
        <v>368</v>
      </c>
      <c r="D270" t="s">
        <v>676</v>
      </c>
      <c r="E270" s="30" t="s">
        <v>14</v>
      </c>
      <c r="F270" s="31">
        <v>0</v>
      </c>
      <c r="G270" s="31">
        <v>0</v>
      </c>
      <c r="H270" s="31">
        <v>2</v>
      </c>
      <c r="I270" s="31">
        <v>45</v>
      </c>
      <c r="J270" s="31">
        <f t="shared" si="19"/>
        <v>47</v>
      </c>
      <c r="K270" s="28">
        <v>1998000</v>
      </c>
      <c r="L270" s="29">
        <v>0.45</v>
      </c>
      <c r="M270" s="31">
        <f t="shared" si="20"/>
        <v>899100</v>
      </c>
      <c r="N270" s="28">
        <f t="shared" si="18"/>
        <v>1098900</v>
      </c>
      <c r="O270" s="28">
        <v>1598400</v>
      </c>
    </row>
    <row r="271" spans="1:15" x14ac:dyDescent="0.35">
      <c r="A271">
        <v>732949</v>
      </c>
      <c r="B271" t="s">
        <v>678</v>
      </c>
      <c r="C271" t="s">
        <v>679</v>
      </c>
      <c r="D271" t="s">
        <v>676</v>
      </c>
      <c r="E271" s="30" t="s">
        <v>14</v>
      </c>
      <c r="F271" s="31">
        <v>0</v>
      </c>
      <c r="G271" s="31">
        <v>0</v>
      </c>
      <c r="H271" s="31">
        <v>0</v>
      </c>
      <c r="I271" s="31">
        <v>1</v>
      </c>
      <c r="J271" s="31">
        <f t="shared" si="19"/>
        <v>1</v>
      </c>
      <c r="K271" s="28">
        <v>7698000</v>
      </c>
      <c r="L271" s="29">
        <v>0.81</v>
      </c>
      <c r="M271" s="31">
        <f t="shared" si="20"/>
        <v>6235380</v>
      </c>
      <c r="N271" s="28">
        <f t="shared" si="18"/>
        <v>1462619.9999999995</v>
      </c>
      <c r="O271" s="28">
        <v>3849000</v>
      </c>
    </row>
    <row r="272" spans="1:15" x14ac:dyDescent="0.35">
      <c r="A272">
        <v>735780</v>
      </c>
      <c r="B272" t="s">
        <v>683</v>
      </c>
      <c r="C272" t="s">
        <v>679</v>
      </c>
      <c r="D272" t="s">
        <v>676</v>
      </c>
      <c r="E272" s="30" t="s">
        <v>14</v>
      </c>
      <c r="F272" s="31">
        <v>0</v>
      </c>
      <c r="G272" s="31">
        <v>0</v>
      </c>
      <c r="H272" s="31">
        <v>0</v>
      </c>
      <c r="I272" s="31">
        <v>1</v>
      </c>
      <c r="J272" s="31">
        <f t="shared" si="19"/>
        <v>1</v>
      </c>
      <c r="K272" s="28">
        <v>8198000</v>
      </c>
      <c r="L272" s="29">
        <v>0.81</v>
      </c>
      <c r="M272" s="31">
        <f t="shared" si="20"/>
        <v>6640380</v>
      </c>
      <c r="N272" s="28">
        <f t="shared" si="18"/>
        <v>1557619.9999999995</v>
      </c>
      <c r="O272" s="28">
        <v>4099000</v>
      </c>
    </row>
    <row r="273" spans="1:15" x14ac:dyDescent="0.35">
      <c r="A273">
        <v>732321001</v>
      </c>
      <c r="B273" t="s">
        <v>691</v>
      </c>
      <c r="C273" t="s">
        <v>449</v>
      </c>
      <c r="D273" t="s">
        <v>686</v>
      </c>
      <c r="E273" s="30" t="s">
        <v>14</v>
      </c>
      <c r="F273" s="31">
        <v>0</v>
      </c>
      <c r="G273" s="31">
        <v>0</v>
      </c>
      <c r="H273" s="31">
        <v>0</v>
      </c>
      <c r="I273" s="31">
        <v>1</v>
      </c>
      <c r="J273" s="31">
        <f t="shared" si="19"/>
        <v>1</v>
      </c>
      <c r="K273" s="28">
        <v>22280000</v>
      </c>
      <c r="L273" s="29">
        <v>0.45</v>
      </c>
      <c r="M273" s="31">
        <f t="shared" si="20"/>
        <v>10026000</v>
      </c>
      <c r="N273" s="28">
        <f t="shared" si="18"/>
        <v>12254000.000000002</v>
      </c>
      <c r="O273" s="28">
        <v>17824000</v>
      </c>
    </row>
    <row r="274" spans="1:15" x14ac:dyDescent="0.35">
      <c r="A274">
        <v>700355</v>
      </c>
      <c r="B274" t="s">
        <v>1777</v>
      </c>
      <c r="C274" t="s">
        <v>426</v>
      </c>
      <c r="D274" t="s">
        <v>695</v>
      </c>
      <c r="E274" s="30" t="s">
        <v>14</v>
      </c>
      <c r="F274" s="31">
        <v>0</v>
      </c>
      <c r="G274" s="31">
        <v>0</v>
      </c>
      <c r="H274" s="31">
        <v>0</v>
      </c>
      <c r="I274" s="31">
        <v>2</v>
      </c>
      <c r="J274" s="31">
        <f t="shared" si="19"/>
        <v>2</v>
      </c>
      <c r="K274" s="28">
        <v>50000</v>
      </c>
      <c r="L274" s="29">
        <v>0.81</v>
      </c>
      <c r="M274" s="31">
        <f t="shared" si="20"/>
        <v>40500</v>
      </c>
      <c r="N274" s="28">
        <f t="shared" si="18"/>
        <v>9499.9999999999982</v>
      </c>
    </row>
    <row r="275" spans="1:15" x14ac:dyDescent="0.35">
      <c r="A275">
        <v>700358</v>
      </c>
      <c r="B275" t="s">
        <v>694</v>
      </c>
      <c r="C275" t="s">
        <v>426</v>
      </c>
      <c r="D275" t="s">
        <v>695</v>
      </c>
      <c r="E275" s="30" t="s">
        <v>14</v>
      </c>
      <c r="F275" s="31">
        <v>0</v>
      </c>
      <c r="G275" s="31">
        <v>0</v>
      </c>
      <c r="H275" s="31">
        <v>0</v>
      </c>
      <c r="I275" s="31">
        <v>21</v>
      </c>
      <c r="J275" s="31">
        <f t="shared" si="19"/>
        <v>21</v>
      </c>
      <c r="K275" s="28">
        <v>25000</v>
      </c>
      <c r="L275" s="29">
        <v>0.81</v>
      </c>
      <c r="M275" s="31">
        <f t="shared" si="20"/>
        <v>20250</v>
      </c>
      <c r="N275" s="28">
        <f t="shared" si="18"/>
        <v>4749.9999999999991</v>
      </c>
      <c r="O275" s="28">
        <v>7500.0000000000009</v>
      </c>
    </row>
    <row r="276" spans="1:15" x14ac:dyDescent="0.35">
      <c r="A276">
        <v>724151</v>
      </c>
      <c r="B276" t="s">
        <v>696</v>
      </c>
      <c r="C276" t="s">
        <v>679</v>
      </c>
      <c r="D276" t="s">
        <v>695</v>
      </c>
      <c r="E276" s="30" t="s">
        <v>14</v>
      </c>
      <c r="F276" s="31">
        <v>0</v>
      </c>
      <c r="G276" s="31">
        <v>0</v>
      </c>
      <c r="H276" s="31">
        <v>0</v>
      </c>
      <c r="I276" s="31">
        <v>1</v>
      </c>
      <c r="J276" s="31">
        <f t="shared" si="19"/>
        <v>1</v>
      </c>
      <c r="K276" s="28">
        <v>148000</v>
      </c>
      <c r="L276" s="29">
        <v>0.81</v>
      </c>
      <c r="M276" s="31">
        <f t="shared" si="20"/>
        <v>119880.00000000001</v>
      </c>
      <c r="N276" s="28">
        <f t="shared" si="18"/>
        <v>28119.999999999993</v>
      </c>
      <c r="O276" s="28">
        <v>50000</v>
      </c>
    </row>
    <row r="277" spans="1:15" x14ac:dyDescent="0.35">
      <c r="A277">
        <v>724152</v>
      </c>
      <c r="B277" t="s">
        <v>697</v>
      </c>
      <c r="C277" t="s">
        <v>679</v>
      </c>
      <c r="D277" t="s">
        <v>695</v>
      </c>
      <c r="E277" s="30" t="s">
        <v>14</v>
      </c>
      <c r="F277" s="31">
        <v>0</v>
      </c>
      <c r="G277" s="31">
        <v>1</v>
      </c>
      <c r="H277" s="31">
        <v>2</v>
      </c>
      <c r="I277" s="31">
        <v>7</v>
      </c>
      <c r="J277" s="31">
        <f t="shared" si="19"/>
        <v>10</v>
      </c>
      <c r="K277" s="28">
        <v>148000</v>
      </c>
      <c r="L277" s="29">
        <v>0.81</v>
      </c>
      <c r="M277" s="31">
        <f t="shared" si="20"/>
        <v>119880.00000000001</v>
      </c>
      <c r="N277" s="28">
        <f t="shared" si="18"/>
        <v>28119.999999999993</v>
      </c>
      <c r="O277" s="28">
        <v>50000</v>
      </c>
    </row>
    <row r="278" spans="1:15" x14ac:dyDescent="0.35">
      <c r="A278">
        <v>729286</v>
      </c>
      <c r="B278" t="s">
        <v>698</v>
      </c>
      <c r="C278" t="s">
        <v>679</v>
      </c>
      <c r="D278" t="s">
        <v>695</v>
      </c>
      <c r="E278" s="30" t="s">
        <v>14</v>
      </c>
      <c r="F278" s="31">
        <v>0</v>
      </c>
      <c r="G278" s="31">
        <v>26</v>
      </c>
      <c r="H278" s="31">
        <v>4</v>
      </c>
      <c r="I278" s="31">
        <v>7</v>
      </c>
      <c r="J278" s="31">
        <f t="shared" si="19"/>
        <v>37</v>
      </c>
      <c r="K278" s="28">
        <v>928000</v>
      </c>
      <c r="L278" s="29">
        <v>0.81</v>
      </c>
      <c r="M278" s="31">
        <f t="shared" si="20"/>
        <v>751680</v>
      </c>
      <c r="N278" s="28">
        <f t="shared" si="18"/>
        <v>176319.99999999994</v>
      </c>
      <c r="O278" s="28">
        <v>464000</v>
      </c>
    </row>
    <row r="279" spans="1:15" x14ac:dyDescent="0.35">
      <c r="A279">
        <v>729287</v>
      </c>
      <c r="B279" t="s">
        <v>699</v>
      </c>
      <c r="C279" t="s">
        <v>679</v>
      </c>
      <c r="D279" t="s">
        <v>695</v>
      </c>
      <c r="E279" s="30" t="s">
        <v>14</v>
      </c>
      <c r="F279" s="31">
        <v>0</v>
      </c>
      <c r="G279" s="31">
        <v>2</v>
      </c>
      <c r="H279" s="31">
        <v>4</v>
      </c>
      <c r="I279" s="31">
        <v>6</v>
      </c>
      <c r="J279" s="31">
        <f t="shared" si="19"/>
        <v>12</v>
      </c>
      <c r="K279" s="28">
        <v>1148000</v>
      </c>
      <c r="L279" s="29">
        <v>0.81</v>
      </c>
      <c r="M279" s="31">
        <f t="shared" si="20"/>
        <v>929880.00000000012</v>
      </c>
      <c r="N279" s="28">
        <f t="shared" si="18"/>
        <v>218119.99999999994</v>
      </c>
      <c r="O279" s="28">
        <v>574000</v>
      </c>
    </row>
    <row r="280" spans="1:15" x14ac:dyDescent="0.35">
      <c r="A280">
        <v>729288</v>
      </c>
      <c r="B280" t="s">
        <v>700</v>
      </c>
      <c r="C280" t="s">
        <v>679</v>
      </c>
      <c r="D280" t="s">
        <v>695</v>
      </c>
      <c r="E280" s="30" t="s">
        <v>14</v>
      </c>
      <c r="F280" s="31">
        <v>0</v>
      </c>
      <c r="G280" s="31">
        <v>0</v>
      </c>
      <c r="H280" s="31">
        <v>0</v>
      </c>
      <c r="I280" s="31">
        <v>4</v>
      </c>
      <c r="J280" s="31">
        <f t="shared" si="19"/>
        <v>4</v>
      </c>
      <c r="K280" s="28">
        <v>748000</v>
      </c>
      <c r="L280" s="29">
        <v>0.81</v>
      </c>
      <c r="M280" s="31">
        <f t="shared" si="20"/>
        <v>605880</v>
      </c>
      <c r="N280" s="28">
        <f t="shared" si="18"/>
        <v>142119.99999999997</v>
      </c>
      <c r="O280" s="28">
        <v>374000</v>
      </c>
    </row>
    <row r="281" spans="1:15" x14ac:dyDescent="0.35">
      <c r="A281">
        <v>729289</v>
      </c>
      <c r="B281" t="s">
        <v>701</v>
      </c>
      <c r="C281" t="s">
        <v>679</v>
      </c>
      <c r="D281" t="s">
        <v>695</v>
      </c>
      <c r="E281" s="30" t="s">
        <v>14</v>
      </c>
      <c r="F281" s="31">
        <v>0</v>
      </c>
      <c r="G281" s="31">
        <v>0</v>
      </c>
      <c r="H281" s="31">
        <v>0</v>
      </c>
      <c r="I281" s="31">
        <v>9</v>
      </c>
      <c r="J281" s="31">
        <f t="shared" si="19"/>
        <v>9</v>
      </c>
      <c r="K281" s="28">
        <v>998000</v>
      </c>
      <c r="L281" s="29">
        <v>0.81</v>
      </c>
      <c r="M281" s="31">
        <f t="shared" si="20"/>
        <v>808380</v>
      </c>
      <c r="N281" s="28">
        <f t="shared" si="18"/>
        <v>189619.99999999994</v>
      </c>
      <c r="O281" s="28">
        <v>499000</v>
      </c>
    </row>
    <row r="282" spans="1:15" x14ac:dyDescent="0.35">
      <c r="A282">
        <v>730624</v>
      </c>
      <c r="B282" t="s">
        <v>702</v>
      </c>
      <c r="C282" t="s">
        <v>679</v>
      </c>
      <c r="D282" t="s">
        <v>695</v>
      </c>
      <c r="E282" s="30" t="s">
        <v>14</v>
      </c>
      <c r="F282" s="31">
        <v>0</v>
      </c>
      <c r="G282" s="31">
        <v>10</v>
      </c>
      <c r="H282" s="31">
        <v>2</v>
      </c>
      <c r="I282" s="31">
        <v>1</v>
      </c>
      <c r="J282" s="31">
        <f t="shared" si="19"/>
        <v>13</v>
      </c>
      <c r="K282" s="28">
        <v>928000</v>
      </c>
      <c r="L282" s="29">
        <v>0.81</v>
      </c>
      <c r="M282" s="31">
        <f t="shared" si="20"/>
        <v>751680</v>
      </c>
      <c r="N282" s="28">
        <f t="shared" si="18"/>
        <v>176319.99999999994</v>
      </c>
      <c r="O282" s="28">
        <v>464000</v>
      </c>
    </row>
    <row r="283" spans="1:15" x14ac:dyDescent="0.35">
      <c r="A283">
        <v>730625</v>
      </c>
      <c r="B283" t="s">
        <v>703</v>
      </c>
      <c r="C283" t="s">
        <v>679</v>
      </c>
      <c r="D283" t="s">
        <v>695</v>
      </c>
      <c r="E283" s="30" t="s">
        <v>14</v>
      </c>
      <c r="F283" s="31">
        <v>0</v>
      </c>
      <c r="G283" s="31">
        <v>4</v>
      </c>
      <c r="H283" s="31">
        <v>0</v>
      </c>
      <c r="I283" s="31">
        <v>2</v>
      </c>
      <c r="J283" s="31">
        <f t="shared" si="19"/>
        <v>6</v>
      </c>
      <c r="K283" s="28">
        <v>1148000</v>
      </c>
      <c r="L283" s="29">
        <v>0.81</v>
      </c>
      <c r="M283" s="31">
        <f t="shared" si="20"/>
        <v>929880.00000000012</v>
      </c>
      <c r="N283" s="28">
        <f t="shared" si="18"/>
        <v>218119.99999999994</v>
      </c>
      <c r="O283" s="28">
        <v>574000</v>
      </c>
    </row>
    <row r="284" spans="1:15" x14ac:dyDescent="0.35">
      <c r="A284">
        <v>718820</v>
      </c>
      <c r="B284" t="s">
        <v>1778</v>
      </c>
      <c r="C284" t="s">
        <v>631</v>
      </c>
      <c r="D284" t="s">
        <v>695</v>
      </c>
      <c r="E284" s="30" t="s">
        <v>14</v>
      </c>
      <c r="F284" s="31">
        <v>0</v>
      </c>
      <c r="G284" s="31">
        <v>0</v>
      </c>
      <c r="H284" s="31">
        <v>0</v>
      </c>
      <c r="I284" s="31">
        <v>3</v>
      </c>
      <c r="J284" s="31">
        <f t="shared" si="19"/>
        <v>3</v>
      </c>
      <c r="K284" s="28">
        <v>248000</v>
      </c>
      <c r="L284" s="29">
        <v>0.81</v>
      </c>
      <c r="M284" s="31">
        <f t="shared" si="20"/>
        <v>200880</v>
      </c>
      <c r="N284" s="28">
        <f t="shared" si="18"/>
        <v>47119.999999999985</v>
      </c>
    </row>
    <row r="285" spans="1:15" x14ac:dyDescent="0.35">
      <c r="A285">
        <v>733018005</v>
      </c>
      <c r="B285" t="s">
        <v>1779</v>
      </c>
      <c r="C285" t="s">
        <v>365</v>
      </c>
      <c r="D285" t="s">
        <v>122</v>
      </c>
      <c r="E285" s="30" t="s">
        <v>14</v>
      </c>
      <c r="F285" s="31">
        <v>0</v>
      </c>
      <c r="G285" s="31">
        <v>0</v>
      </c>
      <c r="H285" s="31">
        <v>0</v>
      </c>
      <c r="I285" s="31">
        <v>6</v>
      </c>
      <c r="J285" s="31">
        <f t="shared" si="19"/>
        <v>6</v>
      </c>
      <c r="K285" s="28">
        <v>89000</v>
      </c>
      <c r="L285" s="29">
        <v>0.81</v>
      </c>
      <c r="M285" s="31">
        <f t="shared" si="20"/>
        <v>72090</v>
      </c>
      <c r="N285" s="28">
        <f t="shared" si="18"/>
        <v>16909.999999999996</v>
      </c>
    </row>
    <row r="286" spans="1:15" x14ac:dyDescent="0.35">
      <c r="A286">
        <v>729886001</v>
      </c>
      <c r="B286" t="s">
        <v>749</v>
      </c>
      <c r="C286" t="s">
        <v>368</v>
      </c>
      <c r="D286" t="s">
        <v>122</v>
      </c>
      <c r="E286" s="30" t="s">
        <v>14</v>
      </c>
      <c r="F286" s="31">
        <v>0</v>
      </c>
      <c r="G286" s="31">
        <v>0</v>
      </c>
      <c r="H286" s="31">
        <v>0</v>
      </c>
      <c r="I286" s="31">
        <v>5</v>
      </c>
      <c r="J286" s="31">
        <f t="shared" si="19"/>
        <v>5</v>
      </c>
      <c r="K286" s="28">
        <v>298000</v>
      </c>
      <c r="L286" s="29">
        <v>0.81</v>
      </c>
      <c r="M286" s="31">
        <f t="shared" si="20"/>
        <v>241380.00000000003</v>
      </c>
      <c r="N286" s="28">
        <f t="shared" si="18"/>
        <v>56619.999999999985</v>
      </c>
      <c r="O286" s="28">
        <v>149000</v>
      </c>
    </row>
    <row r="287" spans="1:15" x14ac:dyDescent="0.35">
      <c r="A287">
        <v>729886002</v>
      </c>
      <c r="B287" t="s">
        <v>750</v>
      </c>
      <c r="C287" t="s">
        <v>368</v>
      </c>
      <c r="D287" t="s">
        <v>122</v>
      </c>
      <c r="E287" s="30" t="s">
        <v>14</v>
      </c>
      <c r="F287" s="31">
        <v>0</v>
      </c>
      <c r="G287" s="31">
        <v>0</v>
      </c>
      <c r="H287" s="31">
        <v>0</v>
      </c>
      <c r="I287" s="31">
        <v>3</v>
      </c>
      <c r="J287" s="31">
        <f t="shared" si="19"/>
        <v>3</v>
      </c>
      <c r="K287" s="28">
        <v>298000</v>
      </c>
      <c r="L287" s="29">
        <v>0.81</v>
      </c>
      <c r="M287" s="31">
        <f t="shared" si="20"/>
        <v>241380.00000000003</v>
      </c>
      <c r="N287" s="28">
        <f t="shared" si="18"/>
        <v>56619.999999999985</v>
      </c>
      <c r="O287" s="28">
        <v>149000</v>
      </c>
    </row>
    <row r="288" spans="1:15" x14ac:dyDescent="0.35">
      <c r="A288">
        <v>729886003</v>
      </c>
      <c r="B288" t="s">
        <v>751</v>
      </c>
      <c r="C288" t="s">
        <v>368</v>
      </c>
      <c r="D288" t="s">
        <v>122</v>
      </c>
      <c r="E288" s="30" t="s">
        <v>14</v>
      </c>
      <c r="F288" s="31">
        <v>0</v>
      </c>
      <c r="G288" s="31">
        <v>0</v>
      </c>
      <c r="H288" s="31">
        <v>0</v>
      </c>
      <c r="I288" s="31">
        <v>4</v>
      </c>
      <c r="J288" s="31">
        <f t="shared" si="19"/>
        <v>4</v>
      </c>
      <c r="K288" s="28">
        <v>298000</v>
      </c>
      <c r="L288" s="29">
        <v>0.81</v>
      </c>
      <c r="M288" s="31">
        <f t="shared" si="20"/>
        <v>241380.00000000003</v>
      </c>
      <c r="N288" s="28">
        <f t="shared" si="18"/>
        <v>56619.999999999985</v>
      </c>
      <c r="O288" s="28">
        <v>149000</v>
      </c>
    </row>
    <row r="289" spans="1:15" x14ac:dyDescent="0.35">
      <c r="A289">
        <v>730286009</v>
      </c>
      <c r="B289" t="s">
        <v>752</v>
      </c>
      <c r="C289" t="s">
        <v>368</v>
      </c>
      <c r="D289" t="s">
        <v>122</v>
      </c>
      <c r="E289" s="30" t="s">
        <v>14</v>
      </c>
      <c r="F289" s="31">
        <v>0</v>
      </c>
      <c r="G289" s="31">
        <v>0</v>
      </c>
      <c r="H289" s="31">
        <v>0</v>
      </c>
      <c r="I289" s="31">
        <v>1</v>
      </c>
      <c r="J289" s="31">
        <f t="shared" si="19"/>
        <v>1</v>
      </c>
      <c r="K289" s="28">
        <v>158000</v>
      </c>
      <c r="L289" s="29">
        <v>0.81</v>
      </c>
      <c r="M289" s="31">
        <f t="shared" si="20"/>
        <v>127980.00000000001</v>
      </c>
      <c r="N289" s="28">
        <f t="shared" si="18"/>
        <v>30019.999999999993</v>
      </c>
      <c r="O289" s="28">
        <v>79000</v>
      </c>
    </row>
    <row r="290" spans="1:15" x14ac:dyDescent="0.35">
      <c r="A290">
        <v>733111002</v>
      </c>
      <c r="B290" t="s">
        <v>1780</v>
      </c>
      <c r="C290" t="s">
        <v>368</v>
      </c>
      <c r="D290" t="s">
        <v>122</v>
      </c>
      <c r="E290" s="30" t="s">
        <v>14</v>
      </c>
      <c r="F290" s="31">
        <v>0</v>
      </c>
      <c r="G290" s="31">
        <v>0</v>
      </c>
      <c r="H290" s="31">
        <v>0</v>
      </c>
      <c r="I290" s="31">
        <v>16</v>
      </c>
      <c r="J290" s="31">
        <f t="shared" si="19"/>
        <v>16</v>
      </c>
      <c r="K290" s="28">
        <v>128000</v>
      </c>
      <c r="L290" s="29">
        <v>0.81</v>
      </c>
      <c r="M290" s="31">
        <f t="shared" si="20"/>
        <v>103680</v>
      </c>
      <c r="N290" s="28">
        <f t="shared" si="18"/>
        <v>24319.999999999993</v>
      </c>
    </row>
    <row r="291" spans="1:15" x14ac:dyDescent="0.35">
      <c r="A291">
        <v>733111003</v>
      </c>
      <c r="B291" t="s">
        <v>1781</v>
      </c>
      <c r="C291" t="s">
        <v>368</v>
      </c>
      <c r="D291" t="s">
        <v>122</v>
      </c>
      <c r="E291" s="30" t="s">
        <v>14</v>
      </c>
      <c r="F291" s="31">
        <v>0</v>
      </c>
      <c r="G291" s="31">
        <v>0</v>
      </c>
      <c r="H291" s="31">
        <v>0</v>
      </c>
      <c r="I291" s="31">
        <v>6</v>
      </c>
      <c r="J291" s="31">
        <f t="shared" si="19"/>
        <v>6</v>
      </c>
      <c r="K291" s="28">
        <v>128000</v>
      </c>
      <c r="L291" s="29">
        <v>0.81</v>
      </c>
      <c r="M291" s="31">
        <f t="shared" si="20"/>
        <v>103680</v>
      </c>
      <c r="N291" s="28">
        <f t="shared" si="18"/>
        <v>24319.999999999993</v>
      </c>
    </row>
    <row r="292" spans="1:15" x14ac:dyDescent="0.35">
      <c r="A292">
        <v>733581005</v>
      </c>
      <c r="B292" t="s">
        <v>754</v>
      </c>
      <c r="C292" t="s">
        <v>368</v>
      </c>
      <c r="D292" t="s">
        <v>122</v>
      </c>
      <c r="E292" s="30" t="s">
        <v>14</v>
      </c>
      <c r="F292" s="31">
        <v>0</v>
      </c>
      <c r="G292" s="31">
        <v>0</v>
      </c>
      <c r="H292" s="31">
        <v>0</v>
      </c>
      <c r="I292" s="31">
        <v>15</v>
      </c>
      <c r="J292" s="31">
        <f t="shared" si="19"/>
        <v>15</v>
      </c>
      <c r="K292" s="28">
        <v>158000</v>
      </c>
      <c r="L292" s="29">
        <v>0.81</v>
      </c>
      <c r="M292" s="31">
        <f t="shared" si="20"/>
        <v>127980.00000000001</v>
      </c>
      <c r="N292" s="28">
        <f t="shared" si="18"/>
        <v>30019.999999999993</v>
      </c>
      <c r="O292" s="28">
        <v>110600</v>
      </c>
    </row>
    <row r="293" spans="1:15" x14ac:dyDescent="0.35">
      <c r="A293">
        <v>733581006</v>
      </c>
      <c r="B293" t="s">
        <v>755</v>
      </c>
      <c r="C293" t="s">
        <v>368</v>
      </c>
      <c r="D293" t="s">
        <v>122</v>
      </c>
      <c r="E293" s="30" t="s">
        <v>14</v>
      </c>
      <c r="F293" s="31">
        <v>0</v>
      </c>
      <c r="G293" s="31">
        <v>0</v>
      </c>
      <c r="H293" s="31">
        <v>0</v>
      </c>
      <c r="I293" s="31">
        <v>3</v>
      </c>
      <c r="J293" s="31">
        <f t="shared" si="19"/>
        <v>3</v>
      </c>
      <c r="K293" s="28">
        <v>158000</v>
      </c>
      <c r="L293" s="29">
        <v>0.81</v>
      </c>
      <c r="M293" s="31">
        <f t="shared" si="20"/>
        <v>127980.00000000001</v>
      </c>
      <c r="N293" s="28">
        <f t="shared" si="18"/>
        <v>30019.999999999993</v>
      </c>
      <c r="O293" s="28">
        <v>110600</v>
      </c>
    </row>
    <row r="294" spans="1:15" x14ac:dyDescent="0.35">
      <c r="A294">
        <v>733581007</v>
      </c>
      <c r="B294" t="s">
        <v>756</v>
      </c>
      <c r="C294" t="s">
        <v>368</v>
      </c>
      <c r="D294" t="s">
        <v>122</v>
      </c>
      <c r="E294" s="30" t="s">
        <v>14</v>
      </c>
      <c r="F294" s="31">
        <v>0</v>
      </c>
      <c r="G294" s="31">
        <v>0</v>
      </c>
      <c r="H294" s="31">
        <v>0</v>
      </c>
      <c r="I294" s="31">
        <v>8</v>
      </c>
      <c r="J294" s="31">
        <f t="shared" si="19"/>
        <v>8</v>
      </c>
      <c r="K294" s="28">
        <v>158000</v>
      </c>
      <c r="L294" s="29">
        <v>0.81</v>
      </c>
      <c r="M294" s="31">
        <f t="shared" si="20"/>
        <v>127980.00000000001</v>
      </c>
      <c r="N294" s="28">
        <f t="shared" si="18"/>
        <v>30019.999999999993</v>
      </c>
      <c r="O294" s="28">
        <v>110600</v>
      </c>
    </row>
    <row r="295" spans="1:15" x14ac:dyDescent="0.35">
      <c r="A295">
        <v>733581008</v>
      </c>
      <c r="B295" t="s">
        <v>757</v>
      </c>
      <c r="C295" t="s">
        <v>368</v>
      </c>
      <c r="D295" t="s">
        <v>122</v>
      </c>
      <c r="E295" s="30" t="s">
        <v>14</v>
      </c>
      <c r="F295" s="31">
        <v>0</v>
      </c>
      <c r="G295" s="31">
        <v>0</v>
      </c>
      <c r="H295" s="31">
        <v>0</v>
      </c>
      <c r="I295" s="31">
        <v>2</v>
      </c>
      <c r="J295" s="31">
        <f t="shared" si="19"/>
        <v>2</v>
      </c>
      <c r="K295" s="28">
        <v>158000</v>
      </c>
      <c r="L295" s="29">
        <v>0.81</v>
      </c>
      <c r="M295" s="31">
        <f t="shared" si="20"/>
        <v>127980.00000000001</v>
      </c>
      <c r="N295" s="28">
        <f t="shared" si="18"/>
        <v>30019.999999999993</v>
      </c>
      <c r="O295" s="28">
        <v>110600</v>
      </c>
    </row>
    <row r="296" spans="1:15" x14ac:dyDescent="0.35">
      <c r="A296">
        <v>733581009</v>
      </c>
      <c r="B296" t="s">
        <v>758</v>
      </c>
      <c r="C296" t="s">
        <v>368</v>
      </c>
      <c r="D296" t="s">
        <v>122</v>
      </c>
      <c r="E296" s="30" t="s">
        <v>14</v>
      </c>
      <c r="F296" s="31">
        <v>0</v>
      </c>
      <c r="G296" s="31">
        <v>0</v>
      </c>
      <c r="H296" s="31">
        <v>0</v>
      </c>
      <c r="I296" s="31">
        <v>13</v>
      </c>
      <c r="J296" s="31">
        <f t="shared" si="19"/>
        <v>13</v>
      </c>
      <c r="K296" s="28">
        <v>158000</v>
      </c>
      <c r="L296" s="29">
        <v>0.81</v>
      </c>
      <c r="M296" s="31">
        <f t="shared" si="20"/>
        <v>127980.00000000001</v>
      </c>
      <c r="N296" s="28">
        <f t="shared" si="18"/>
        <v>30019.999999999993</v>
      </c>
      <c r="O296" s="28">
        <v>110600</v>
      </c>
    </row>
    <row r="297" spans="1:15" x14ac:dyDescent="0.35">
      <c r="A297">
        <v>733581010</v>
      </c>
      <c r="B297" t="s">
        <v>759</v>
      </c>
      <c r="C297" t="s">
        <v>368</v>
      </c>
      <c r="D297" t="s">
        <v>122</v>
      </c>
      <c r="E297" s="30" t="s">
        <v>14</v>
      </c>
      <c r="F297" s="31">
        <v>0</v>
      </c>
      <c r="G297" s="31">
        <v>0</v>
      </c>
      <c r="H297" s="31">
        <v>0</v>
      </c>
      <c r="I297" s="31">
        <v>1</v>
      </c>
      <c r="J297" s="31">
        <f t="shared" si="19"/>
        <v>1</v>
      </c>
      <c r="K297" s="28">
        <v>158000</v>
      </c>
      <c r="L297" s="29">
        <v>0.81</v>
      </c>
      <c r="M297" s="31">
        <f t="shared" si="20"/>
        <v>127980.00000000001</v>
      </c>
      <c r="N297" s="28">
        <f t="shared" si="18"/>
        <v>30019.999999999993</v>
      </c>
      <c r="O297" s="28">
        <v>110600</v>
      </c>
    </row>
    <row r="298" spans="1:15" x14ac:dyDescent="0.35">
      <c r="A298">
        <v>733581013</v>
      </c>
      <c r="B298" t="s">
        <v>761</v>
      </c>
      <c r="C298" t="s">
        <v>368</v>
      </c>
      <c r="D298" t="s">
        <v>122</v>
      </c>
      <c r="E298" s="30" t="s">
        <v>14</v>
      </c>
      <c r="F298" s="31">
        <v>0</v>
      </c>
      <c r="G298" s="31">
        <v>0</v>
      </c>
      <c r="H298" s="31">
        <v>0</v>
      </c>
      <c r="I298" s="31">
        <v>17</v>
      </c>
      <c r="J298" s="31">
        <f t="shared" si="19"/>
        <v>17</v>
      </c>
      <c r="K298" s="28">
        <v>158000</v>
      </c>
      <c r="L298" s="29">
        <v>0.81</v>
      </c>
      <c r="M298" s="31">
        <f t="shared" si="20"/>
        <v>127980.00000000001</v>
      </c>
      <c r="N298" s="28">
        <f t="shared" si="18"/>
        <v>30019.999999999993</v>
      </c>
      <c r="O298" s="28">
        <v>110600</v>
      </c>
    </row>
    <row r="299" spans="1:15" x14ac:dyDescent="0.35">
      <c r="A299">
        <v>733581014</v>
      </c>
      <c r="B299" t="s">
        <v>762</v>
      </c>
      <c r="C299" t="s">
        <v>368</v>
      </c>
      <c r="D299" t="s">
        <v>122</v>
      </c>
      <c r="E299" s="30" t="s">
        <v>14</v>
      </c>
      <c r="F299" s="31">
        <v>0</v>
      </c>
      <c r="G299" s="31">
        <v>0</v>
      </c>
      <c r="H299" s="31">
        <v>0</v>
      </c>
      <c r="I299" s="31">
        <v>7</v>
      </c>
      <c r="J299" s="31">
        <f t="shared" si="19"/>
        <v>7</v>
      </c>
      <c r="K299" s="28">
        <v>158000</v>
      </c>
      <c r="L299" s="29">
        <v>0.81</v>
      </c>
      <c r="M299" s="31">
        <f t="shared" si="20"/>
        <v>127980.00000000001</v>
      </c>
      <c r="N299" s="28">
        <f t="shared" si="18"/>
        <v>30019.999999999993</v>
      </c>
      <c r="O299" s="28">
        <v>110600</v>
      </c>
    </row>
    <row r="300" spans="1:15" x14ac:dyDescent="0.35">
      <c r="A300">
        <v>733581015</v>
      </c>
      <c r="B300" t="s">
        <v>763</v>
      </c>
      <c r="C300" t="s">
        <v>368</v>
      </c>
      <c r="D300" t="s">
        <v>122</v>
      </c>
      <c r="E300" s="30" t="s">
        <v>14</v>
      </c>
      <c r="F300" s="31">
        <v>0</v>
      </c>
      <c r="G300" s="31">
        <v>0</v>
      </c>
      <c r="H300" s="31">
        <v>0</v>
      </c>
      <c r="I300" s="31">
        <v>1</v>
      </c>
      <c r="J300" s="31">
        <f t="shared" si="19"/>
        <v>1</v>
      </c>
      <c r="K300" s="28">
        <v>158000</v>
      </c>
      <c r="L300" s="29">
        <v>0.81</v>
      </c>
      <c r="M300" s="31">
        <f t="shared" si="20"/>
        <v>127980.00000000001</v>
      </c>
      <c r="N300" s="28">
        <f t="shared" si="18"/>
        <v>30019.999999999993</v>
      </c>
      <c r="O300" s="28">
        <v>110600</v>
      </c>
    </row>
    <row r="301" spans="1:15" x14ac:dyDescent="0.35">
      <c r="A301">
        <v>733581017</v>
      </c>
      <c r="B301" t="s">
        <v>765</v>
      </c>
      <c r="C301" t="s">
        <v>368</v>
      </c>
      <c r="D301" t="s">
        <v>122</v>
      </c>
      <c r="E301" s="30" t="s">
        <v>14</v>
      </c>
      <c r="F301" s="31">
        <v>0</v>
      </c>
      <c r="G301" s="31">
        <v>0</v>
      </c>
      <c r="H301" s="31">
        <v>0</v>
      </c>
      <c r="I301" s="31">
        <v>1</v>
      </c>
      <c r="J301" s="31">
        <f t="shared" si="19"/>
        <v>1</v>
      </c>
      <c r="K301" s="28">
        <v>158000</v>
      </c>
      <c r="L301" s="29">
        <v>0.81</v>
      </c>
      <c r="M301" s="31">
        <f t="shared" si="20"/>
        <v>127980.00000000001</v>
      </c>
      <c r="N301" s="28">
        <f t="shared" si="18"/>
        <v>30019.999999999993</v>
      </c>
      <c r="O301" s="28">
        <v>79000</v>
      </c>
    </row>
    <row r="302" spans="1:15" x14ac:dyDescent="0.35">
      <c r="A302">
        <v>735137004</v>
      </c>
      <c r="B302" t="s">
        <v>766</v>
      </c>
      <c r="C302" t="s">
        <v>368</v>
      </c>
      <c r="D302" t="s">
        <v>122</v>
      </c>
      <c r="E302" s="30" t="s">
        <v>14</v>
      </c>
      <c r="F302" s="31">
        <v>0</v>
      </c>
      <c r="G302" s="31">
        <v>0</v>
      </c>
      <c r="H302" s="31">
        <v>0</v>
      </c>
      <c r="I302" s="31">
        <v>2</v>
      </c>
      <c r="J302" s="31">
        <f t="shared" si="19"/>
        <v>2</v>
      </c>
      <c r="K302" s="28">
        <v>298000</v>
      </c>
      <c r="L302" s="29">
        <v>0.81</v>
      </c>
      <c r="M302" s="31">
        <f t="shared" si="20"/>
        <v>241380.00000000003</v>
      </c>
      <c r="N302" s="28">
        <f t="shared" si="18"/>
        <v>56619.999999999985</v>
      </c>
      <c r="O302" s="28">
        <v>149000</v>
      </c>
    </row>
    <row r="303" spans="1:15" x14ac:dyDescent="0.35">
      <c r="A303">
        <v>735137005</v>
      </c>
      <c r="B303" t="s">
        <v>767</v>
      </c>
      <c r="C303" t="s">
        <v>368</v>
      </c>
      <c r="D303" t="s">
        <v>122</v>
      </c>
      <c r="E303" s="30" t="s">
        <v>14</v>
      </c>
      <c r="F303" s="31">
        <v>0</v>
      </c>
      <c r="G303" s="31">
        <v>0</v>
      </c>
      <c r="H303" s="31">
        <v>0</v>
      </c>
      <c r="I303" s="31">
        <v>2</v>
      </c>
      <c r="J303" s="31">
        <f t="shared" si="19"/>
        <v>2</v>
      </c>
      <c r="K303" s="28">
        <v>298000</v>
      </c>
      <c r="L303" s="29">
        <v>0.81</v>
      </c>
      <c r="M303" s="31">
        <f t="shared" si="20"/>
        <v>241380.00000000003</v>
      </c>
      <c r="N303" s="28">
        <f t="shared" si="18"/>
        <v>56619.999999999985</v>
      </c>
      <c r="O303" s="28">
        <v>149000</v>
      </c>
    </row>
    <row r="304" spans="1:15" x14ac:dyDescent="0.35">
      <c r="A304">
        <v>735137006</v>
      </c>
      <c r="B304" t="s">
        <v>768</v>
      </c>
      <c r="C304" t="s">
        <v>368</v>
      </c>
      <c r="D304" t="s">
        <v>122</v>
      </c>
      <c r="E304" s="30" t="s">
        <v>14</v>
      </c>
      <c r="F304" s="31">
        <v>0</v>
      </c>
      <c r="G304" s="31">
        <v>0</v>
      </c>
      <c r="H304" s="31">
        <v>0</v>
      </c>
      <c r="I304" s="31">
        <v>2</v>
      </c>
      <c r="J304" s="31">
        <f t="shared" si="19"/>
        <v>2</v>
      </c>
      <c r="K304" s="28">
        <v>298000</v>
      </c>
      <c r="L304" s="29">
        <v>0.81</v>
      </c>
      <c r="M304" s="31">
        <f t="shared" si="20"/>
        <v>241380.00000000003</v>
      </c>
      <c r="N304" s="28">
        <f t="shared" si="18"/>
        <v>56619.999999999985</v>
      </c>
      <c r="O304" s="28">
        <v>149000</v>
      </c>
    </row>
    <row r="305" spans="1:15" x14ac:dyDescent="0.35">
      <c r="A305">
        <v>735137007</v>
      </c>
      <c r="B305" t="s">
        <v>769</v>
      </c>
      <c r="C305" t="s">
        <v>368</v>
      </c>
      <c r="D305" t="s">
        <v>122</v>
      </c>
      <c r="E305" s="30" t="s">
        <v>14</v>
      </c>
      <c r="F305" s="31">
        <v>0</v>
      </c>
      <c r="G305" s="31">
        <v>0</v>
      </c>
      <c r="H305" s="31">
        <v>0</v>
      </c>
      <c r="I305" s="31">
        <v>2</v>
      </c>
      <c r="J305" s="31">
        <f t="shared" si="19"/>
        <v>2</v>
      </c>
      <c r="K305" s="28">
        <v>298000</v>
      </c>
      <c r="L305" s="29">
        <v>0.81</v>
      </c>
      <c r="M305" s="31">
        <f t="shared" si="20"/>
        <v>241380.00000000003</v>
      </c>
      <c r="N305" s="28">
        <f t="shared" si="18"/>
        <v>56619.999999999985</v>
      </c>
      <c r="O305" s="28">
        <v>149000</v>
      </c>
    </row>
    <row r="306" spans="1:15" x14ac:dyDescent="0.35">
      <c r="A306">
        <v>735137008</v>
      </c>
      <c r="B306" t="s">
        <v>770</v>
      </c>
      <c r="C306" t="s">
        <v>368</v>
      </c>
      <c r="D306" t="s">
        <v>122</v>
      </c>
      <c r="E306" s="30" t="s">
        <v>14</v>
      </c>
      <c r="F306" s="31">
        <v>0</v>
      </c>
      <c r="G306" s="31">
        <v>0</v>
      </c>
      <c r="H306" s="31">
        <v>0</v>
      </c>
      <c r="I306" s="31">
        <v>1</v>
      </c>
      <c r="J306" s="31">
        <f t="shared" si="19"/>
        <v>1</v>
      </c>
      <c r="K306" s="28">
        <v>298000</v>
      </c>
      <c r="L306" s="29">
        <v>0.81</v>
      </c>
      <c r="M306" s="31">
        <f t="shared" si="20"/>
        <v>241380.00000000003</v>
      </c>
      <c r="N306" s="28">
        <f t="shared" si="18"/>
        <v>56619.999999999985</v>
      </c>
      <c r="O306" s="28">
        <v>149000</v>
      </c>
    </row>
    <row r="307" spans="1:15" x14ac:dyDescent="0.35">
      <c r="A307">
        <v>735137009</v>
      </c>
      <c r="B307" t="s">
        <v>771</v>
      </c>
      <c r="C307" t="s">
        <v>368</v>
      </c>
      <c r="D307" t="s">
        <v>122</v>
      </c>
      <c r="E307" s="30" t="s">
        <v>14</v>
      </c>
      <c r="F307" s="31">
        <v>0</v>
      </c>
      <c r="G307" s="31">
        <v>0</v>
      </c>
      <c r="H307" s="31">
        <v>0</v>
      </c>
      <c r="I307" s="31">
        <v>4</v>
      </c>
      <c r="J307" s="31">
        <f t="shared" si="19"/>
        <v>4</v>
      </c>
      <c r="K307" s="28">
        <v>298000</v>
      </c>
      <c r="L307" s="29">
        <v>0.81</v>
      </c>
      <c r="M307" s="31">
        <f t="shared" si="20"/>
        <v>241380.00000000003</v>
      </c>
      <c r="N307" s="28">
        <f t="shared" si="18"/>
        <v>56619.999999999985</v>
      </c>
      <c r="O307" s="28">
        <v>149000</v>
      </c>
    </row>
    <row r="308" spans="1:15" x14ac:dyDescent="0.35">
      <c r="A308">
        <v>735138010</v>
      </c>
      <c r="B308" t="s">
        <v>773</v>
      </c>
      <c r="C308" t="s">
        <v>368</v>
      </c>
      <c r="D308" t="s">
        <v>122</v>
      </c>
      <c r="E308" s="30" t="s">
        <v>14</v>
      </c>
      <c r="F308" s="31">
        <v>0</v>
      </c>
      <c r="G308" s="31">
        <v>0</v>
      </c>
      <c r="H308" s="31">
        <v>0</v>
      </c>
      <c r="I308" s="31">
        <v>2</v>
      </c>
      <c r="J308" s="31">
        <f t="shared" si="19"/>
        <v>2</v>
      </c>
      <c r="K308" s="28">
        <v>228000</v>
      </c>
      <c r="L308" s="29">
        <v>0.81</v>
      </c>
      <c r="M308" s="31">
        <f t="shared" si="20"/>
        <v>184680</v>
      </c>
      <c r="N308" s="28">
        <f t="shared" si="18"/>
        <v>43319.999999999985</v>
      </c>
      <c r="O308" s="28">
        <v>114000</v>
      </c>
    </row>
    <row r="309" spans="1:15" x14ac:dyDescent="0.35">
      <c r="A309">
        <v>735138011</v>
      </c>
      <c r="B309" t="s">
        <v>774</v>
      </c>
      <c r="C309" t="s">
        <v>368</v>
      </c>
      <c r="D309" t="s">
        <v>122</v>
      </c>
      <c r="E309" s="30" t="s">
        <v>14</v>
      </c>
      <c r="F309" s="31">
        <v>0</v>
      </c>
      <c r="G309" s="31">
        <v>0</v>
      </c>
      <c r="H309" s="31">
        <v>0</v>
      </c>
      <c r="I309" s="31">
        <v>1</v>
      </c>
      <c r="J309" s="31">
        <f t="shared" si="19"/>
        <v>1</v>
      </c>
      <c r="K309" s="28">
        <v>228000</v>
      </c>
      <c r="L309" s="29">
        <v>0.81</v>
      </c>
      <c r="M309" s="31">
        <f t="shared" si="20"/>
        <v>184680</v>
      </c>
      <c r="N309" s="28">
        <f t="shared" si="18"/>
        <v>43319.999999999985</v>
      </c>
      <c r="O309" s="28">
        <v>114000</v>
      </c>
    </row>
    <row r="310" spans="1:15" x14ac:dyDescent="0.35">
      <c r="A310">
        <v>740330001</v>
      </c>
      <c r="B310" t="s">
        <v>1782</v>
      </c>
      <c r="C310" t="s">
        <v>368</v>
      </c>
      <c r="D310" t="s">
        <v>122</v>
      </c>
      <c r="E310" s="30" t="s">
        <v>14</v>
      </c>
      <c r="F310" s="31">
        <v>0</v>
      </c>
      <c r="G310" s="31">
        <v>0</v>
      </c>
      <c r="H310" s="31">
        <v>0</v>
      </c>
      <c r="I310" s="31">
        <v>18</v>
      </c>
      <c r="J310" s="31">
        <f t="shared" si="19"/>
        <v>18</v>
      </c>
      <c r="K310" s="28">
        <v>128000</v>
      </c>
      <c r="L310" s="29">
        <v>0.81</v>
      </c>
      <c r="M310" s="31">
        <f t="shared" si="20"/>
        <v>103680</v>
      </c>
      <c r="N310" s="28">
        <f t="shared" si="18"/>
        <v>24319.999999999993</v>
      </c>
    </row>
    <row r="311" spans="1:15" x14ac:dyDescent="0.35">
      <c r="A311">
        <v>740330002</v>
      </c>
      <c r="B311" t="s">
        <v>1783</v>
      </c>
      <c r="C311" t="s">
        <v>368</v>
      </c>
      <c r="D311" t="s">
        <v>122</v>
      </c>
      <c r="E311" s="30" t="s">
        <v>14</v>
      </c>
      <c r="F311" s="31">
        <v>0</v>
      </c>
      <c r="G311" s="31">
        <v>0</v>
      </c>
      <c r="H311" s="31">
        <v>0</v>
      </c>
      <c r="I311" s="31">
        <v>7</v>
      </c>
      <c r="J311" s="31">
        <f t="shared" si="19"/>
        <v>7</v>
      </c>
      <c r="K311" s="28">
        <v>128000</v>
      </c>
      <c r="L311" s="29">
        <v>0.81</v>
      </c>
      <c r="M311" s="31">
        <f t="shared" si="20"/>
        <v>103680</v>
      </c>
      <c r="N311" s="28">
        <f t="shared" si="18"/>
        <v>24319.999999999993</v>
      </c>
    </row>
    <row r="312" spans="1:15" x14ac:dyDescent="0.35">
      <c r="A312">
        <v>740832001</v>
      </c>
      <c r="B312" t="s">
        <v>1784</v>
      </c>
      <c r="C312" t="s">
        <v>368</v>
      </c>
      <c r="D312" t="s">
        <v>122</v>
      </c>
      <c r="E312" s="30" t="s">
        <v>14</v>
      </c>
      <c r="F312" s="31">
        <v>0</v>
      </c>
      <c r="G312" s="31">
        <v>0</v>
      </c>
      <c r="H312" s="31">
        <v>2</v>
      </c>
      <c r="I312" s="31">
        <v>110</v>
      </c>
      <c r="J312" s="31">
        <f t="shared" si="19"/>
        <v>112</v>
      </c>
      <c r="K312" s="28">
        <v>228000</v>
      </c>
      <c r="L312" s="29">
        <v>0.81</v>
      </c>
      <c r="M312" s="31">
        <f t="shared" si="20"/>
        <v>184680</v>
      </c>
      <c r="N312" s="28">
        <f t="shared" si="18"/>
        <v>43319.999999999985</v>
      </c>
    </row>
    <row r="313" spans="1:15" x14ac:dyDescent="0.35">
      <c r="A313">
        <v>740832002</v>
      </c>
      <c r="B313" t="s">
        <v>1785</v>
      </c>
      <c r="C313" t="s">
        <v>368</v>
      </c>
      <c r="D313" t="s">
        <v>122</v>
      </c>
      <c r="E313" s="30" t="s">
        <v>14</v>
      </c>
      <c r="F313" s="31">
        <v>0</v>
      </c>
      <c r="G313" s="31">
        <v>0</v>
      </c>
      <c r="H313" s="31">
        <v>1</v>
      </c>
      <c r="I313" s="31">
        <v>113</v>
      </c>
      <c r="J313" s="31">
        <f t="shared" si="19"/>
        <v>114</v>
      </c>
      <c r="K313" s="28">
        <v>228000</v>
      </c>
      <c r="L313" s="29">
        <v>0.81</v>
      </c>
      <c r="M313" s="31">
        <f t="shared" si="20"/>
        <v>184680</v>
      </c>
      <c r="N313" s="28">
        <f t="shared" si="18"/>
        <v>43319.999999999985</v>
      </c>
    </row>
    <row r="314" spans="1:15" x14ac:dyDescent="0.35">
      <c r="A314">
        <v>740832003</v>
      </c>
      <c r="B314" t="s">
        <v>1786</v>
      </c>
      <c r="C314" t="s">
        <v>368</v>
      </c>
      <c r="D314" t="s">
        <v>122</v>
      </c>
      <c r="E314" s="30" t="s">
        <v>14</v>
      </c>
      <c r="F314" s="31">
        <v>0</v>
      </c>
      <c r="G314" s="31">
        <v>0</v>
      </c>
      <c r="H314" s="31">
        <v>3</v>
      </c>
      <c r="I314" s="31">
        <v>102</v>
      </c>
      <c r="J314" s="31">
        <f t="shared" si="19"/>
        <v>105</v>
      </c>
      <c r="K314" s="28">
        <v>228000</v>
      </c>
      <c r="L314" s="29">
        <v>0.45</v>
      </c>
      <c r="M314" s="31">
        <f t="shared" si="20"/>
        <v>102600</v>
      </c>
      <c r="N314" s="28">
        <f t="shared" si="18"/>
        <v>125400.00000000001</v>
      </c>
    </row>
    <row r="315" spans="1:15" x14ac:dyDescent="0.35">
      <c r="A315">
        <v>740832004</v>
      </c>
      <c r="B315" t="s">
        <v>1787</v>
      </c>
      <c r="C315" t="s">
        <v>368</v>
      </c>
      <c r="D315" t="s">
        <v>122</v>
      </c>
      <c r="E315" s="30" t="s">
        <v>14</v>
      </c>
      <c r="F315" s="31">
        <v>0</v>
      </c>
      <c r="G315" s="31">
        <v>0</v>
      </c>
      <c r="H315" s="31">
        <v>0</v>
      </c>
      <c r="I315" s="31">
        <v>7</v>
      </c>
      <c r="J315" s="31">
        <f t="shared" si="19"/>
        <v>7</v>
      </c>
      <c r="K315" s="28">
        <v>228000</v>
      </c>
      <c r="L315" s="29">
        <v>0.45</v>
      </c>
      <c r="M315" s="31">
        <f t="shared" si="20"/>
        <v>102600</v>
      </c>
      <c r="N315" s="28">
        <f t="shared" si="18"/>
        <v>125400.00000000001</v>
      </c>
    </row>
    <row r="316" spans="1:15" x14ac:dyDescent="0.35">
      <c r="A316">
        <v>740832005</v>
      </c>
      <c r="B316" t="s">
        <v>1788</v>
      </c>
      <c r="C316" t="s">
        <v>368</v>
      </c>
      <c r="D316" t="s">
        <v>122</v>
      </c>
      <c r="E316" s="30" t="s">
        <v>14</v>
      </c>
      <c r="F316" s="31">
        <v>0</v>
      </c>
      <c r="G316" s="31">
        <v>0</v>
      </c>
      <c r="H316" s="31">
        <v>1</v>
      </c>
      <c r="I316" s="31">
        <v>3</v>
      </c>
      <c r="J316" s="31">
        <f t="shared" si="19"/>
        <v>4</v>
      </c>
      <c r="K316" s="28">
        <v>228000</v>
      </c>
      <c r="L316" s="29">
        <v>0.45</v>
      </c>
      <c r="M316" s="31">
        <f t="shared" si="20"/>
        <v>102600</v>
      </c>
      <c r="N316" s="28">
        <f t="shared" si="18"/>
        <v>125400.00000000001</v>
      </c>
    </row>
    <row r="317" spans="1:15" x14ac:dyDescent="0.35">
      <c r="A317">
        <v>740832006</v>
      </c>
      <c r="B317" t="s">
        <v>1789</v>
      </c>
      <c r="C317" t="s">
        <v>368</v>
      </c>
      <c r="D317" t="s">
        <v>122</v>
      </c>
      <c r="E317" s="30" t="s">
        <v>14</v>
      </c>
      <c r="F317" s="31">
        <v>0</v>
      </c>
      <c r="G317" s="31">
        <v>0</v>
      </c>
      <c r="H317" s="31">
        <v>2</v>
      </c>
      <c r="I317" s="31">
        <v>90</v>
      </c>
      <c r="J317" s="31">
        <f t="shared" si="19"/>
        <v>92</v>
      </c>
      <c r="K317" s="28">
        <v>228000</v>
      </c>
      <c r="L317" s="29">
        <v>0.81</v>
      </c>
      <c r="M317" s="31">
        <f t="shared" si="20"/>
        <v>184680</v>
      </c>
      <c r="N317" s="28">
        <f t="shared" si="18"/>
        <v>43319.999999999985</v>
      </c>
    </row>
    <row r="318" spans="1:15" x14ac:dyDescent="0.35">
      <c r="A318">
        <v>740832007</v>
      </c>
      <c r="B318" t="s">
        <v>1790</v>
      </c>
      <c r="C318" t="s">
        <v>368</v>
      </c>
      <c r="D318" t="s">
        <v>122</v>
      </c>
      <c r="E318" s="30" t="s">
        <v>14</v>
      </c>
      <c r="F318" s="31">
        <v>0</v>
      </c>
      <c r="G318" s="31">
        <v>0</v>
      </c>
      <c r="H318" s="31">
        <v>2</v>
      </c>
      <c r="I318" s="31">
        <v>91</v>
      </c>
      <c r="J318" s="31">
        <f t="shared" si="19"/>
        <v>93</v>
      </c>
      <c r="K318" s="28">
        <v>228000</v>
      </c>
      <c r="L318" s="29">
        <v>0.81</v>
      </c>
      <c r="M318" s="31">
        <f t="shared" si="20"/>
        <v>184680</v>
      </c>
      <c r="N318" s="28">
        <f t="shared" si="18"/>
        <v>43319.999999999985</v>
      </c>
    </row>
    <row r="319" spans="1:15" x14ac:dyDescent="0.35">
      <c r="A319">
        <v>740832008</v>
      </c>
      <c r="B319" t="s">
        <v>1791</v>
      </c>
      <c r="C319" t="s">
        <v>368</v>
      </c>
      <c r="D319" t="s">
        <v>122</v>
      </c>
      <c r="E319" s="30" t="s">
        <v>14</v>
      </c>
      <c r="F319" s="31">
        <v>0</v>
      </c>
      <c r="G319" s="31">
        <v>0</v>
      </c>
      <c r="H319" s="31">
        <v>0</v>
      </c>
      <c r="I319" s="31">
        <v>73</v>
      </c>
      <c r="J319" s="31">
        <f t="shared" si="19"/>
        <v>73</v>
      </c>
      <c r="K319" s="28">
        <v>228000</v>
      </c>
      <c r="L319" s="29">
        <v>0.45</v>
      </c>
      <c r="M319" s="31">
        <f t="shared" si="20"/>
        <v>102600</v>
      </c>
      <c r="N319" s="28">
        <f t="shared" si="18"/>
        <v>125400.00000000001</v>
      </c>
    </row>
    <row r="320" spans="1:15" x14ac:dyDescent="0.35">
      <c r="A320">
        <v>740832009</v>
      </c>
      <c r="B320" t="s">
        <v>1792</v>
      </c>
      <c r="C320" t="s">
        <v>368</v>
      </c>
      <c r="D320" t="s">
        <v>122</v>
      </c>
      <c r="E320" s="30" t="s">
        <v>14</v>
      </c>
      <c r="F320" s="31">
        <v>0</v>
      </c>
      <c r="G320" s="31">
        <v>0</v>
      </c>
      <c r="H320" s="31">
        <v>0</v>
      </c>
      <c r="I320" s="31">
        <v>37</v>
      </c>
      <c r="J320" s="31">
        <f t="shared" si="19"/>
        <v>37</v>
      </c>
      <c r="K320" s="28">
        <v>228000</v>
      </c>
      <c r="L320" s="29">
        <v>0.45</v>
      </c>
      <c r="M320" s="31">
        <f t="shared" si="20"/>
        <v>102600</v>
      </c>
      <c r="N320" s="28">
        <f t="shared" si="18"/>
        <v>125400.00000000001</v>
      </c>
    </row>
    <row r="321" spans="1:14" x14ac:dyDescent="0.35">
      <c r="A321">
        <v>740832010</v>
      </c>
      <c r="B321" t="s">
        <v>1793</v>
      </c>
      <c r="C321" t="s">
        <v>368</v>
      </c>
      <c r="D321" t="s">
        <v>122</v>
      </c>
      <c r="E321" s="30" t="s">
        <v>14</v>
      </c>
      <c r="F321" s="31">
        <v>0</v>
      </c>
      <c r="G321" s="31">
        <v>0</v>
      </c>
      <c r="H321" s="31">
        <v>0</v>
      </c>
      <c r="I321" s="31">
        <v>9</v>
      </c>
      <c r="J321" s="31">
        <f t="shared" si="19"/>
        <v>9</v>
      </c>
      <c r="K321" s="28">
        <v>228000</v>
      </c>
      <c r="L321" s="29">
        <v>0.45</v>
      </c>
      <c r="M321" s="31">
        <f t="shared" si="20"/>
        <v>102600</v>
      </c>
      <c r="N321" s="28">
        <f t="shared" si="18"/>
        <v>125400.00000000001</v>
      </c>
    </row>
    <row r="322" spans="1:14" x14ac:dyDescent="0.35">
      <c r="A322">
        <v>740832011</v>
      </c>
      <c r="B322" t="s">
        <v>1794</v>
      </c>
      <c r="C322" t="s">
        <v>368</v>
      </c>
      <c r="D322" t="s">
        <v>122</v>
      </c>
      <c r="E322" s="30" t="s">
        <v>14</v>
      </c>
      <c r="F322" s="31">
        <v>0</v>
      </c>
      <c r="G322" s="31">
        <v>0</v>
      </c>
      <c r="H322" s="31">
        <v>2</v>
      </c>
      <c r="I322" s="31">
        <v>80</v>
      </c>
      <c r="J322" s="31">
        <f t="shared" si="19"/>
        <v>82</v>
      </c>
      <c r="K322" s="28">
        <v>228000</v>
      </c>
      <c r="L322" s="29">
        <v>0.81</v>
      </c>
      <c r="M322" s="31">
        <f t="shared" si="20"/>
        <v>184680</v>
      </c>
      <c r="N322" s="28">
        <f t="shared" si="18"/>
        <v>43319.999999999985</v>
      </c>
    </row>
    <row r="323" spans="1:14" x14ac:dyDescent="0.35">
      <c r="A323">
        <v>740832012</v>
      </c>
      <c r="B323" t="s">
        <v>1795</v>
      </c>
      <c r="C323" t="s">
        <v>368</v>
      </c>
      <c r="D323" t="s">
        <v>122</v>
      </c>
      <c r="E323" s="30" t="s">
        <v>14</v>
      </c>
      <c r="F323" s="31">
        <v>0</v>
      </c>
      <c r="G323" s="31">
        <v>0</v>
      </c>
      <c r="H323" s="31">
        <v>1</v>
      </c>
      <c r="I323" s="31">
        <v>83</v>
      </c>
      <c r="J323" s="31">
        <f t="shared" si="19"/>
        <v>84</v>
      </c>
      <c r="K323" s="28">
        <v>228000</v>
      </c>
      <c r="L323" s="29">
        <v>0.81</v>
      </c>
      <c r="M323" s="31">
        <f t="shared" si="20"/>
        <v>184680</v>
      </c>
      <c r="N323" s="28">
        <f t="shared" ref="N323" si="21">K323*(1-L323)</f>
        <v>43319.999999999985</v>
      </c>
    </row>
    <row r="324" spans="1:14" x14ac:dyDescent="0.35">
      <c r="A324">
        <v>740832013</v>
      </c>
      <c r="B324" t="s">
        <v>1796</v>
      </c>
      <c r="C324" t="s">
        <v>368</v>
      </c>
      <c r="D324" t="s">
        <v>122</v>
      </c>
      <c r="E324" s="30" t="s">
        <v>14</v>
      </c>
      <c r="F324" s="31">
        <v>0</v>
      </c>
      <c r="G324" s="31">
        <v>0</v>
      </c>
      <c r="H324" s="31">
        <v>0</v>
      </c>
      <c r="I324" s="31">
        <v>52</v>
      </c>
      <c r="J324" s="31">
        <f t="shared" ref="J324:J387" si="22">SUM(F324:I324)</f>
        <v>52</v>
      </c>
      <c r="K324" s="28">
        <v>228000</v>
      </c>
      <c r="L324" s="29">
        <v>0.45</v>
      </c>
      <c r="M324" s="31">
        <f t="shared" ref="M324:M387" si="23">K324*L324</f>
        <v>102600</v>
      </c>
      <c r="N324" s="28">
        <f t="shared" ref="N323:N386" si="24">K324*(1-L324)</f>
        <v>125400.00000000001</v>
      </c>
    </row>
    <row r="325" spans="1:14" x14ac:dyDescent="0.35">
      <c r="A325">
        <v>740832014</v>
      </c>
      <c r="B325" t="s">
        <v>1797</v>
      </c>
      <c r="C325" t="s">
        <v>368</v>
      </c>
      <c r="D325" t="s">
        <v>122</v>
      </c>
      <c r="E325" s="30" t="s">
        <v>14</v>
      </c>
      <c r="F325" s="31">
        <v>0</v>
      </c>
      <c r="G325" s="31">
        <v>0</v>
      </c>
      <c r="H325" s="31">
        <v>0</v>
      </c>
      <c r="I325" s="31">
        <v>9</v>
      </c>
      <c r="J325" s="31">
        <f t="shared" si="22"/>
        <v>9</v>
      </c>
      <c r="K325" s="28">
        <v>228000</v>
      </c>
      <c r="L325" s="29">
        <v>0.45</v>
      </c>
      <c r="M325" s="31">
        <f t="shared" si="23"/>
        <v>102600</v>
      </c>
      <c r="N325" s="28">
        <f t="shared" si="24"/>
        <v>125400.00000000001</v>
      </c>
    </row>
    <row r="326" spans="1:14" x14ac:dyDescent="0.35">
      <c r="A326">
        <v>740832016</v>
      </c>
      <c r="B326" t="s">
        <v>1798</v>
      </c>
      <c r="C326" t="s">
        <v>368</v>
      </c>
      <c r="D326" t="s">
        <v>122</v>
      </c>
      <c r="E326" s="30" t="s">
        <v>14</v>
      </c>
      <c r="F326" s="31">
        <v>0</v>
      </c>
      <c r="G326" s="31">
        <v>0</v>
      </c>
      <c r="H326" s="31">
        <v>2</v>
      </c>
      <c r="I326" s="31">
        <v>89</v>
      </c>
      <c r="J326" s="31">
        <f t="shared" si="22"/>
        <v>91</v>
      </c>
      <c r="K326" s="28">
        <v>228000</v>
      </c>
      <c r="L326" s="29">
        <v>0.81</v>
      </c>
      <c r="M326" s="31">
        <f t="shared" si="23"/>
        <v>184680</v>
      </c>
      <c r="N326" s="28">
        <f t="shared" si="24"/>
        <v>43319.999999999985</v>
      </c>
    </row>
    <row r="327" spans="1:14" x14ac:dyDescent="0.35">
      <c r="A327">
        <v>740832017</v>
      </c>
      <c r="B327" t="s">
        <v>1799</v>
      </c>
      <c r="C327" t="s">
        <v>368</v>
      </c>
      <c r="D327" t="s">
        <v>122</v>
      </c>
      <c r="E327" s="30" t="s">
        <v>14</v>
      </c>
      <c r="F327" s="31">
        <v>0</v>
      </c>
      <c r="G327" s="31">
        <v>0</v>
      </c>
      <c r="H327" s="31">
        <v>0</v>
      </c>
      <c r="I327" s="31">
        <v>83</v>
      </c>
      <c r="J327" s="31">
        <f t="shared" si="22"/>
        <v>83</v>
      </c>
      <c r="K327" s="28">
        <v>228000</v>
      </c>
      <c r="L327" s="29">
        <v>0.81</v>
      </c>
      <c r="M327" s="31">
        <f t="shared" si="23"/>
        <v>184680</v>
      </c>
      <c r="N327" s="28">
        <f t="shared" si="24"/>
        <v>43319.999999999985</v>
      </c>
    </row>
    <row r="328" spans="1:14" x14ac:dyDescent="0.35">
      <c r="A328">
        <v>740832018</v>
      </c>
      <c r="B328" t="s">
        <v>1800</v>
      </c>
      <c r="C328" t="s">
        <v>368</v>
      </c>
      <c r="D328" t="s">
        <v>122</v>
      </c>
      <c r="E328" s="30" t="s">
        <v>14</v>
      </c>
      <c r="F328" s="31">
        <v>0</v>
      </c>
      <c r="G328" s="31">
        <v>0</v>
      </c>
      <c r="H328" s="31">
        <v>0</v>
      </c>
      <c r="I328" s="31">
        <v>99</v>
      </c>
      <c r="J328" s="31">
        <f t="shared" si="22"/>
        <v>99</v>
      </c>
      <c r="K328" s="28">
        <v>228000</v>
      </c>
      <c r="L328" s="29">
        <v>0.45</v>
      </c>
      <c r="M328" s="31">
        <f t="shared" si="23"/>
        <v>102600</v>
      </c>
      <c r="N328" s="28">
        <f t="shared" si="24"/>
        <v>125400.00000000001</v>
      </c>
    </row>
    <row r="329" spans="1:14" x14ac:dyDescent="0.35">
      <c r="A329">
        <v>740832019</v>
      </c>
      <c r="B329" t="s">
        <v>1801</v>
      </c>
      <c r="C329" t="s">
        <v>368</v>
      </c>
      <c r="D329" t="s">
        <v>122</v>
      </c>
      <c r="E329" s="30" t="s">
        <v>14</v>
      </c>
      <c r="F329" s="31">
        <v>0</v>
      </c>
      <c r="G329" s="31">
        <v>0</v>
      </c>
      <c r="H329" s="31">
        <v>0</v>
      </c>
      <c r="I329" s="31">
        <v>56</v>
      </c>
      <c r="J329" s="31">
        <f t="shared" si="22"/>
        <v>56</v>
      </c>
      <c r="K329" s="28">
        <v>228000</v>
      </c>
      <c r="L329" s="29">
        <v>0.45</v>
      </c>
      <c r="M329" s="31">
        <f t="shared" si="23"/>
        <v>102600</v>
      </c>
      <c r="N329" s="28">
        <f t="shared" si="24"/>
        <v>125400.00000000001</v>
      </c>
    </row>
    <row r="330" spans="1:14" x14ac:dyDescent="0.35">
      <c r="A330">
        <v>740832020</v>
      </c>
      <c r="B330" t="s">
        <v>1802</v>
      </c>
      <c r="C330" t="s">
        <v>368</v>
      </c>
      <c r="D330" t="s">
        <v>122</v>
      </c>
      <c r="E330" s="30" t="s">
        <v>14</v>
      </c>
      <c r="F330" s="31">
        <v>0</v>
      </c>
      <c r="G330" s="31">
        <v>0</v>
      </c>
      <c r="H330" s="31">
        <v>1</v>
      </c>
      <c r="I330" s="31">
        <v>19</v>
      </c>
      <c r="J330" s="31">
        <f t="shared" si="22"/>
        <v>20</v>
      </c>
      <c r="K330" s="28">
        <v>228000</v>
      </c>
      <c r="L330" s="29">
        <v>0.45</v>
      </c>
      <c r="M330" s="31">
        <f t="shared" si="23"/>
        <v>102600</v>
      </c>
      <c r="N330" s="28">
        <f t="shared" si="24"/>
        <v>125400.00000000001</v>
      </c>
    </row>
    <row r="331" spans="1:14" x14ac:dyDescent="0.35">
      <c r="A331">
        <v>740833001</v>
      </c>
      <c r="B331" t="s">
        <v>1803</v>
      </c>
      <c r="C331" t="s">
        <v>368</v>
      </c>
      <c r="D331" t="s">
        <v>122</v>
      </c>
      <c r="E331" s="30" t="s">
        <v>14</v>
      </c>
      <c r="F331" s="31">
        <v>0</v>
      </c>
      <c r="G331" s="31">
        <v>0</v>
      </c>
      <c r="H331" s="31">
        <v>2</v>
      </c>
      <c r="I331" s="31">
        <v>50</v>
      </c>
      <c r="J331" s="31">
        <f t="shared" si="22"/>
        <v>52</v>
      </c>
      <c r="K331" s="28">
        <v>228000</v>
      </c>
      <c r="L331" s="29">
        <v>0.81</v>
      </c>
      <c r="M331" s="31">
        <f t="shared" si="23"/>
        <v>184680</v>
      </c>
      <c r="N331" s="28">
        <f t="shared" si="24"/>
        <v>43319.999999999985</v>
      </c>
    </row>
    <row r="332" spans="1:14" x14ac:dyDescent="0.35">
      <c r="A332">
        <v>740833002</v>
      </c>
      <c r="B332" t="s">
        <v>1804</v>
      </c>
      <c r="C332" t="s">
        <v>368</v>
      </c>
      <c r="D332" t="s">
        <v>122</v>
      </c>
      <c r="E332" s="30" t="s">
        <v>14</v>
      </c>
      <c r="F332" s="31">
        <v>0</v>
      </c>
      <c r="G332" s="31">
        <v>0</v>
      </c>
      <c r="H332" s="31">
        <v>0</v>
      </c>
      <c r="I332" s="31">
        <v>52</v>
      </c>
      <c r="J332" s="31">
        <f t="shared" si="22"/>
        <v>52</v>
      </c>
      <c r="K332" s="28">
        <v>228000</v>
      </c>
      <c r="L332" s="29">
        <v>0.81</v>
      </c>
      <c r="M332" s="31">
        <f t="shared" si="23"/>
        <v>184680</v>
      </c>
      <c r="N332" s="28">
        <f t="shared" si="24"/>
        <v>43319.999999999985</v>
      </c>
    </row>
    <row r="333" spans="1:14" x14ac:dyDescent="0.35">
      <c r="A333">
        <v>740833003</v>
      </c>
      <c r="B333" t="s">
        <v>1805</v>
      </c>
      <c r="C333" t="s">
        <v>368</v>
      </c>
      <c r="D333" t="s">
        <v>122</v>
      </c>
      <c r="E333" s="30" t="s">
        <v>14</v>
      </c>
      <c r="F333" s="31">
        <v>0</v>
      </c>
      <c r="G333" s="31">
        <v>0</v>
      </c>
      <c r="H333" s="31">
        <v>1</v>
      </c>
      <c r="I333" s="31">
        <v>17</v>
      </c>
      <c r="J333" s="31">
        <f t="shared" si="22"/>
        <v>18</v>
      </c>
      <c r="K333" s="28">
        <v>228000</v>
      </c>
      <c r="L333" s="29">
        <v>0.45</v>
      </c>
      <c r="M333" s="31">
        <f t="shared" si="23"/>
        <v>102600</v>
      </c>
      <c r="N333" s="28">
        <f t="shared" si="24"/>
        <v>125400.00000000001</v>
      </c>
    </row>
    <row r="334" spans="1:14" x14ac:dyDescent="0.35">
      <c r="A334">
        <v>740833004</v>
      </c>
      <c r="B334" t="s">
        <v>1806</v>
      </c>
      <c r="C334" t="s">
        <v>368</v>
      </c>
      <c r="D334" t="s">
        <v>122</v>
      </c>
      <c r="E334" s="30" t="s">
        <v>14</v>
      </c>
      <c r="F334" s="31">
        <v>0</v>
      </c>
      <c r="G334" s="31">
        <v>0</v>
      </c>
      <c r="H334" s="31">
        <v>0</v>
      </c>
      <c r="I334" s="31">
        <v>2</v>
      </c>
      <c r="J334" s="31">
        <f t="shared" si="22"/>
        <v>2</v>
      </c>
      <c r="K334" s="28">
        <v>228000</v>
      </c>
      <c r="L334" s="29">
        <v>0.45</v>
      </c>
      <c r="M334" s="31">
        <f t="shared" si="23"/>
        <v>102600</v>
      </c>
      <c r="N334" s="28">
        <f t="shared" si="24"/>
        <v>125400.00000000001</v>
      </c>
    </row>
    <row r="335" spans="1:14" x14ac:dyDescent="0.35">
      <c r="A335">
        <v>740833005</v>
      </c>
      <c r="B335" t="s">
        <v>1807</v>
      </c>
      <c r="C335" t="s">
        <v>368</v>
      </c>
      <c r="D335" t="s">
        <v>122</v>
      </c>
      <c r="E335" s="30" t="s">
        <v>14</v>
      </c>
      <c r="F335" s="31">
        <v>0</v>
      </c>
      <c r="G335" s="31">
        <v>0</v>
      </c>
      <c r="H335" s="31">
        <v>0</v>
      </c>
      <c r="I335" s="31">
        <v>1</v>
      </c>
      <c r="J335" s="31">
        <f t="shared" si="22"/>
        <v>1</v>
      </c>
      <c r="K335" s="28">
        <v>228000</v>
      </c>
      <c r="L335" s="29">
        <v>0.45</v>
      </c>
      <c r="M335" s="31">
        <f t="shared" si="23"/>
        <v>102600</v>
      </c>
      <c r="N335" s="28">
        <f t="shared" si="24"/>
        <v>125400.00000000001</v>
      </c>
    </row>
    <row r="336" spans="1:14" x14ac:dyDescent="0.35">
      <c r="A336">
        <v>740833006</v>
      </c>
      <c r="B336" t="s">
        <v>1808</v>
      </c>
      <c r="C336" t="s">
        <v>368</v>
      </c>
      <c r="D336" t="s">
        <v>122</v>
      </c>
      <c r="E336" s="30" t="s">
        <v>14</v>
      </c>
      <c r="F336" s="31">
        <v>0</v>
      </c>
      <c r="G336" s="31">
        <v>0</v>
      </c>
      <c r="H336" s="31">
        <v>2</v>
      </c>
      <c r="I336" s="31">
        <v>73</v>
      </c>
      <c r="J336" s="31">
        <f t="shared" si="22"/>
        <v>75</v>
      </c>
      <c r="K336" s="28">
        <v>228000</v>
      </c>
      <c r="L336" s="29">
        <v>0.81</v>
      </c>
      <c r="M336" s="31">
        <f t="shared" si="23"/>
        <v>184680</v>
      </c>
      <c r="N336" s="28">
        <f t="shared" si="24"/>
        <v>43319.999999999985</v>
      </c>
    </row>
    <row r="337" spans="1:15" x14ac:dyDescent="0.35">
      <c r="A337">
        <v>740833007</v>
      </c>
      <c r="B337" t="s">
        <v>1809</v>
      </c>
      <c r="C337" t="s">
        <v>368</v>
      </c>
      <c r="D337" t="s">
        <v>122</v>
      </c>
      <c r="E337" s="30" t="s">
        <v>14</v>
      </c>
      <c r="F337" s="31">
        <v>0</v>
      </c>
      <c r="G337" s="31">
        <v>0</v>
      </c>
      <c r="H337" s="31">
        <v>1</v>
      </c>
      <c r="I337" s="31">
        <v>84</v>
      </c>
      <c r="J337" s="31">
        <f t="shared" si="22"/>
        <v>85</v>
      </c>
      <c r="K337" s="28">
        <v>228000</v>
      </c>
      <c r="L337" s="29">
        <v>0.81</v>
      </c>
      <c r="M337" s="31">
        <f t="shared" si="23"/>
        <v>184680</v>
      </c>
      <c r="N337" s="28">
        <f t="shared" si="24"/>
        <v>43319.999999999985</v>
      </c>
    </row>
    <row r="338" spans="1:15" x14ac:dyDescent="0.35">
      <c r="A338">
        <v>740833008</v>
      </c>
      <c r="B338" t="s">
        <v>1810</v>
      </c>
      <c r="C338" t="s">
        <v>368</v>
      </c>
      <c r="D338" t="s">
        <v>122</v>
      </c>
      <c r="E338" s="30" t="s">
        <v>14</v>
      </c>
      <c r="F338" s="31">
        <v>0</v>
      </c>
      <c r="G338" s="31">
        <v>0</v>
      </c>
      <c r="H338" s="31">
        <v>1</v>
      </c>
      <c r="I338" s="31">
        <v>22</v>
      </c>
      <c r="J338" s="31">
        <f t="shared" si="22"/>
        <v>23</v>
      </c>
      <c r="K338" s="28">
        <v>228000</v>
      </c>
      <c r="L338" s="29">
        <v>0.45</v>
      </c>
      <c r="M338" s="31">
        <f t="shared" si="23"/>
        <v>102600</v>
      </c>
      <c r="N338" s="28">
        <f t="shared" si="24"/>
        <v>125400.00000000001</v>
      </c>
    </row>
    <row r="339" spans="1:15" x14ac:dyDescent="0.35">
      <c r="A339">
        <v>740833011</v>
      </c>
      <c r="B339" t="s">
        <v>1811</v>
      </c>
      <c r="C339" t="s">
        <v>368</v>
      </c>
      <c r="D339" t="s">
        <v>122</v>
      </c>
      <c r="E339" s="30" t="s">
        <v>14</v>
      </c>
      <c r="F339" s="31">
        <v>0</v>
      </c>
      <c r="G339" s="31">
        <v>0</v>
      </c>
      <c r="H339" s="31">
        <v>2</v>
      </c>
      <c r="I339" s="31">
        <v>86</v>
      </c>
      <c r="J339" s="31">
        <f t="shared" si="22"/>
        <v>88</v>
      </c>
      <c r="K339" s="28">
        <v>228000</v>
      </c>
      <c r="L339" s="29">
        <v>0.81</v>
      </c>
      <c r="M339" s="31">
        <f t="shared" si="23"/>
        <v>184680</v>
      </c>
      <c r="N339" s="28">
        <f t="shared" si="24"/>
        <v>43319.999999999985</v>
      </c>
    </row>
    <row r="340" spans="1:15" x14ac:dyDescent="0.35">
      <c r="A340">
        <v>740833012</v>
      </c>
      <c r="B340" t="s">
        <v>1812</v>
      </c>
      <c r="C340" t="s">
        <v>368</v>
      </c>
      <c r="D340" t="s">
        <v>122</v>
      </c>
      <c r="E340" s="30" t="s">
        <v>14</v>
      </c>
      <c r="F340" s="31">
        <v>0</v>
      </c>
      <c r="G340" s="31">
        <v>0</v>
      </c>
      <c r="H340" s="31">
        <v>0</v>
      </c>
      <c r="I340" s="31">
        <v>100</v>
      </c>
      <c r="J340" s="31">
        <f t="shared" si="22"/>
        <v>100</v>
      </c>
      <c r="K340" s="28">
        <v>228000</v>
      </c>
      <c r="L340" s="29">
        <v>0.81</v>
      </c>
      <c r="M340" s="31">
        <f t="shared" si="23"/>
        <v>184680</v>
      </c>
      <c r="N340" s="28">
        <f t="shared" si="24"/>
        <v>43319.999999999985</v>
      </c>
    </row>
    <row r="341" spans="1:15" x14ac:dyDescent="0.35">
      <c r="A341">
        <v>740833013</v>
      </c>
      <c r="B341" t="s">
        <v>1813</v>
      </c>
      <c r="C341" t="s">
        <v>368</v>
      </c>
      <c r="D341" t="s">
        <v>122</v>
      </c>
      <c r="E341" s="30" t="s">
        <v>14</v>
      </c>
      <c r="F341" s="31">
        <v>0</v>
      </c>
      <c r="G341" s="31">
        <v>0</v>
      </c>
      <c r="H341" s="31">
        <v>1</v>
      </c>
      <c r="I341" s="31">
        <v>97</v>
      </c>
      <c r="J341" s="31">
        <f t="shared" si="22"/>
        <v>98</v>
      </c>
      <c r="K341" s="28">
        <v>228000</v>
      </c>
      <c r="L341" s="29">
        <v>0.45</v>
      </c>
      <c r="M341" s="31">
        <f t="shared" si="23"/>
        <v>102600</v>
      </c>
      <c r="N341" s="28">
        <f t="shared" si="24"/>
        <v>125400.00000000001</v>
      </c>
    </row>
    <row r="342" spans="1:15" x14ac:dyDescent="0.35">
      <c r="A342">
        <v>740833014</v>
      </c>
      <c r="B342" t="s">
        <v>1814</v>
      </c>
      <c r="C342" t="s">
        <v>368</v>
      </c>
      <c r="D342" t="s">
        <v>122</v>
      </c>
      <c r="E342" s="30" t="s">
        <v>14</v>
      </c>
      <c r="F342" s="31">
        <v>0</v>
      </c>
      <c r="G342" s="31">
        <v>0</v>
      </c>
      <c r="H342" s="31">
        <v>0</v>
      </c>
      <c r="I342" s="31">
        <v>33</v>
      </c>
      <c r="J342" s="31">
        <f t="shared" si="22"/>
        <v>33</v>
      </c>
      <c r="K342" s="28">
        <v>228000</v>
      </c>
      <c r="L342" s="29">
        <v>0.45</v>
      </c>
      <c r="M342" s="31">
        <f t="shared" si="23"/>
        <v>102600</v>
      </c>
      <c r="N342" s="28">
        <f t="shared" si="24"/>
        <v>125400.00000000001</v>
      </c>
    </row>
    <row r="343" spans="1:15" x14ac:dyDescent="0.35">
      <c r="A343">
        <v>740833015</v>
      </c>
      <c r="B343" t="s">
        <v>1815</v>
      </c>
      <c r="C343" t="s">
        <v>368</v>
      </c>
      <c r="D343" t="s">
        <v>122</v>
      </c>
      <c r="E343" s="30" t="s">
        <v>14</v>
      </c>
      <c r="F343" s="31">
        <v>0</v>
      </c>
      <c r="G343" s="31">
        <v>0</v>
      </c>
      <c r="H343" s="31">
        <v>1</v>
      </c>
      <c r="I343" s="31">
        <v>12</v>
      </c>
      <c r="J343" s="31">
        <f t="shared" si="22"/>
        <v>13</v>
      </c>
      <c r="K343" s="28">
        <v>228000</v>
      </c>
      <c r="L343" s="29">
        <v>0.45</v>
      </c>
      <c r="M343" s="31">
        <f t="shared" si="23"/>
        <v>102600</v>
      </c>
      <c r="N343" s="28">
        <f t="shared" si="24"/>
        <v>125400.00000000001</v>
      </c>
    </row>
    <row r="344" spans="1:15" x14ac:dyDescent="0.35">
      <c r="A344">
        <v>740833016</v>
      </c>
      <c r="B344" t="s">
        <v>1816</v>
      </c>
      <c r="C344" t="s">
        <v>368</v>
      </c>
      <c r="D344" t="s">
        <v>122</v>
      </c>
      <c r="E344" s="30" t="s">
        <v>14</v>
      </c>
      <c r="F344" s="31">
        <v>0</v>
      </c>
      <c r="G344" s="31">
        <v>0</v>
      </c>
      <c r="H344" s="31">
        <v>2</v>
      </c>
      <c r="I344" s="31">
        <v>66</v>
      </c>
      <c r="J344" s="31">
        <f t="shared" si="22"/>
        <v>68</v>
      </c>
      <c r="K344" s="28">
        <v>228000</v>
      </c>
      <c r="L344" s="29">
        <v>0.81</v>
      </c>
      <c r="M344" s="31">
        <f t="shared" si="23"/>
        <v>184680</v>
      </c>
      <c r="N344" s="28">
        <f t="shared" si="24"/>
        <v>43319.999999999985</v>
      </c>
    </row>
    <row r="345" spans="1:15" x14ac:dyDescent="0.35">
      <c r="A345">
        <v>740833017</v>
      </c>
      <c r="B345" t="s">
        <v>1817</v>
      </c>
      <c r="C345" t="s">
        <v>368</v>
      </c>
      <c r="D345" t="s">
        <v>122</v>
      </c>
      <c r="E345" s="30" t="s">
        <v>14</v>
      </c>
      <c r="F345" s="31">
        <v>0</v>
      </c>
      <c r="G345" s="31">
        <v>0</v>
      </c>
      <c r="H345" s="31">
        <v>1</v>
      </c>
      <c r="I345" s="31">
        <v>72</v>
      </c>
      <c r="J345" s="31">
        <f t="shared" si="22"/>
        <v>73</v>
      </c>
      <c r="K345" s="28">
        <v>228000</v>
      </c>
      <c r="L345" s="29">
        <v>0.81</v>
      </c>
      <c r="M345" s="31">
        <f t="shared" si="23"/>
        <v>184680</v>
      </c>
      <c r="N345" s="28">
        <f t="shared" si="24"/>
        <v>43319.999999999985</v>
      </c>
    </row>
    <row r="346" spans="1:15" x14ac:dyDescent="0.35">
      <c r="A346">
        <v>740833018</v>
      </c>
      <c r="B346" t="s">
        <v>1818</v>
      </c>
      <c r="C346" t="s">
        <v>368</v>
      </c>
      <c r="D346" t="s">
        <v>122</v>
      </c>
      <c r="E346" s="30" t="s">
        <v>14</v>
      </c>
      <c r="F346" s="31">
        <v>0</v>
      </c>
      <c r="G346" s="31">
        <v>0</v>
      </c>
      <c r="H346" s="31">
        <v>0</v>
      </c>
      <c r="I346" s="31">
        <v>33</v>
      </c>
      <c r="J346" s="31">
        <f t="shared" si="22"/>
        <v>33</v>
      </c>
      <c r="K346" s="28">
        <v>228000</v>
      </c>
      <c r="L346" s="29">
        <v>0.45</v>
      </c>
      <c r="M346" s="31">
        <f t="shared" si="23"/>
        <v>102600</v>
      </c>
      <c r="N346" s="28">
        <f t="shared" si="24"/>
        <v>125400.00000000001</v>
      </c>
    </row>
    <row r="347" spans="1:15" x14ac:dyDescent="0.35">
      <c r="A347">
        <v>740833019</v>
      </c>
      <c r="B347" t="s">
        <v>1819</v>
      </c>
      <c r="C347" t="s">
        <v>368</v>
      </c>
      <c r="D347" t="s">
        <v>122</v>
      </c>
      <c r="E347" s="30" t="s">
        <v>14</v>
      </c>
      <c r="F347" s="31">
        <v>0</v>
      </c>
      <c r="G347" s="31">
        <v>0</v>
      </c>
      <c r="H347" s="31">
        <v>0</v>
      </c>
      <c r="I347" s="31">
        <v>4</v>
      </c>
      <c r="J347" s="31">
        <f t="shared" si="22"/>
        <v>4</v>
      </c>
      <c r="K347" s="28">
        <v>228000</v>
      </c>
      <c r="L347" s="29">
        <v>0.45</v>
      </c>
      <c r="M347" s="31">
        <f t="shared" si="23"/>
        <v>102600</v>
      </c>
      <c r="N347" s="28">
        <f t="shared" si="24"/>
        <v>125400.00000000001</v>
      </c>
    </row>
    <row r="348" spans="1:15" x14ac:dyDescent="0.35">
      <c r="A348">
        <v>740833020</v>
      </c>
      <c r="B348" t="s">
        <v>1820</v>
      </c>
      <c r="C348" t="s">
        <v>368</v>
      </c>
      <c r="D348" t="s">
        <v>122</v>
      </c>
      <c r="E348" s="30" t="s">
        <v>14</v>
      </c>
      <c r="F348" s="31">
        <v>0</v>
      </c>
      <c r="G348" s="31">
        <v>0</v>
      </c>
      <c r="H348" s="31">
        <v>0</v>
      </c>
      <c r="I348" s="31">
        <v>1</v>
      </c>
      <c r="J348" s="31">
        <f t="shared" si="22"/>
        <v>1</v>
      </c>
      <c r="K348" s="28">
        <v>228000</v>
      </c>
      <c r="L348" s="29">
        <v>0.45</v>
      </c>
      <c r="M348" s="31">
        <f t="shared" si="23"/>
        <v>102600</v>
      </c>
      <c r="N348" s="28">
        <f t="shared" si="24"/>
        <v>125400.00000000001</v>
      </c>
    </row>
    <row r="349" spans="1:15" x14ac:dyDescent="0.35">
      <c r="A349">
        <v>730521002</v>
      </c>
      <c r="B349" t="s">
        <v>134</v>
      </c>
      <c r="C349" t="s">
        <v>92</v>
      </c>
      <c r="D349" t="s">
        <v>122</v>
      </c>
      <c r="E349" s="30" t="s">
        <v>14</v>
      </c>
      <c r="F349" s="31">
        <v>0</v>
      </c>
      <c r="G349" s="31">
        <v>0</v>
      </c>
      <c r="H349" s="31">
        <v>0</v>
      </c>
      <c r="I349" s="31">
        <v>1</v>
      </c>
      <c r="J349" s="31">
        <f t="shared" si="22"/>
        <v>1</v>
      </c>
      <c r="K349" s="28">
        <v>278000</v>
      </c>
      <c r="L349" s="29">
        <v>0.45</v>
      </c>
      <c r="M349" s="31">
        <f t="shared" si="23"/>
        <v>125100</v>
      </c>
      <c r="N349" s="28">
        <f t="shared" si="24"/>
        <v>152900</v>
      </c>
      <c r="O349" s="28">
        <v>222400</v>
      </c>
    </row>
    <row r="350" spans="1:15" x14ac:dyDescent="0.35">
      <c r="A350">
        <v>730521013</v>
      </c>
      <c r="B350" t="s">
        <v>135</v>
      </c>
      <c r="C350" t="s">
        <v>92</v>
      </c>
      <c r="D350" t="s">
        <v>122</v>
      </c>
      <c r="E350" s="30" t="s">
        <v>14</v>
      </c>
      <c r="F350" s="31">
        <v>0</v>
      </c>
      <c r="G350" s="31">
        <v>0</v>
      </c>
      <c r="H350" s="31">
        <v>0</v>
      </c>
      <c r="I350" s="31">
        <v>3</v>
      </c>
      <c r="J350" s="31">
        <f t="shared" si="22"/>
        <v>3</v>
      </c>
      <c r="K350" s="28">
        <v>278000</v>
      </c>
      <c r="L350" s="29">
        <v>0.45</v>
      </c>
      <c r="M350" s="31">
        <f t="shared" si="23"/>
        <v>125100</v>
      </c>
      <c r="N350" s="28">
        <f t="shared" si="24"/>
        <v>152900</v>
      </c>
      <c r="O350" s="28">
        <v>222400</v>
      </c>
    </row>
    <row r="351" spans="1:15" x14ac:dyDescent="0.35">
      <c r="A351">
        <v>730521014</v>
      </c>
      <c r="B351" t="s">
        <v>136</v>
      </c>
      <c r="C351" t="s">
        <v>92</v>
      </c>
      <c r="D351" t="s">
        <v>122</v>
      </c>
      <c r="E351" s="30" t="s">
        <v>14</v>
      </c>
      <c r="F351" s="31">
        <v>0</v>
      </c>
      <c r="G351" s="31">
        <v>0</v>
      </c>
      <c r="H351" s="31">
        <v>0</v>
      </c>
      <c r="I351" s="31">
        <v>22</v>
      </c>
      <c r="J351" s="31">
        <f t="shared" si="22"/>
        <v>22</v>
      </c>
      <c r="K351" s="28">
        <v>278000</v>
      </c>
      <c r="L351" s="29">
        <v>0.45</v>
      </c>
      <c r="M351" s="31">
        <f t="shared" si="23"/>
        <v>125100</v>
      </c>
      <c r="N351" s="28">
        <f t="shared" si="24"/>
        <v>152900</v>
      </c>
      <c r="O351" s="28">
        <v>222400</v>
      </c>
    </row>
    <row r="352" spans="1:15" x14ac:dyDescent="0.35">
      <c r="A352">
        <v>730521015</v>
      </c>
      <c r="B352" t="s">
        <v>775</v>
      </c>
      <c r="C352" t="s">
        <v>92</v>
      </c>
      <c r="D352" t="s">
        <v>122</v>
      </c>
      <c r="E352" s="30" t="s">
        <v>14</v>
      </c>
      <c r="F352" s="31">
        <v>0</v>
      </c>
      <c r="G352" s="31">
        <v>0</v>
      </c>
      <c r="H352" s="31">
        <v>0</v>
      </c>
      <c r="I352" s="31">
        <v>17</v>
      </c>
      <c r="J352" s="31">
        <f t="shared" si="22"/>
        <v>17</v>
      </c>
      <c r="K352" s="28">
        <v>278000</v>
      </c>
      <c r="L352" s="29">
        <v>0.45</v>
      </c>
      <c r="M352" s="31">
        <f t="shared" si="23"/>
        <v>125100</v>
      </c>
      <c r="N352" s="28">
        <f t="shared" si="24"/>
        <v>152900</v>
      </c>
      <c r="O352" s="28">
        <v>222400</v>
      </c>
    </row>
    <row r="353" spans="1:15" x14ac:dyDescent="0.35">
      <c r="A353">
        <v>732211003</v>
      </c>
      <c r="B353" t="s">
        <v>776</v>
      </c>
      <c r="C353" t="s">
        <v>92</v>
      </c>
      <c r="D353" t="s">
        <v>122</v>
      </c>
      <c r="E353" s="30" t="s">
        <v>14</v>
      </c>
      <c r="F353" s="31">
        <v>0</v>
      </c>
      <c r="G353" s="31">
        <v>0</v>
      </c>
      <c r="H353" s="31">
        <v>0</v>
      </c>
      <c r="I353" s="31">
        <v>56</v>
      </c>
      <c r="J353" s="31">
        <f t="shared" si="22"/>
        <v>56</v>
      </c>
      <c r="K353" s="28">
        <v>478000</v>
      </c>
      <c r="L353" s="29">
        <v>0.45</v>
      </c>
      <c r="M353" s="31">
        <f t="shared" si="23"/>
        <v>215100</v>
      </c>
      <c r="N353" s="28">
        <f t="shared" si="24"/>
        <v>262900</v>
      </c>
      <c r="O353" s="28">
        <v>382400</v>
      </c>
    </row>
    <row r="354" spans="1:15" x14ac:dyDescent="0.35">
      <c r="A354">
        <v>732211004</v>
      </c>
      <c r="B354" t="s">
        <v>777</v>
      </c>
      <c r="C354" t="s">
        <v>92</v>
      </c>
      <c r="D354" t="s">
        <v>122</v>
      </c>
      <c r="E354" s="30" t="s">
        <v>14</v>
      </c>
      <c r="F354" s="31">
        <v>0</v>
      </c>
      <c r="G354" s="31">
        <v>0</v>
      </c>
      <c r="H354" s="31">
        <v>0</v>
      </c>
      <c r="I354" s="31">
        <v>1</v>
      </c>
      <c r="J354" s="31">
        <f t="shared" si="22"/>
        <v>1</v>
      </c>
      <c r="K354" s="28">
        <v>478000</v>
      </c>
      <c r="L354" s="29">
        <v>0.45</v>
      </c>
      <c r="M354" s="31">
        <f t="shared" si="23"/>
        <v>215100</v>
      </c>
      <c r="N354" s="28">
        <f t="shared" si="24"/>
        <v>262900</v>
      </c>
      <c r="O354" s="28">
        <v>382400</v>
      </c>
    </row>
    <row r="355" spans="1:15" x14ac:dyDescent="0.35">
      <c r="A355">
        <v>732211006</v>
      </c>
      <c r="B355" t="s">
        <v>130</v>
      </c>
      <c r="C355" t="s">
        <v>92</v>
      </c>
      <c r="D355" t="s">
        <v>122</v>
      </c>
      <c r="E355" s="30" t="s">
        <v>14</v>
      </c>
      <c r="F355" s="31">
        <v>0</v>
      </c>
      <c r="G355" s="31">
        <v>0</v>
      </c>
      <c r="H355" s="31">
        <v>0</v>
      </c>
      <c r="I355" s="31">
        <v>1</v>
      </c>
      <c r="J355" s="31">
        <f t="shared" si="22"/>
        <v>1</v>
      </c>
      <c r="K355" s="28">
        <v>478000</v>
      </c>
      <c r="L355" s="29">
        <v>0.45</v>
      </c>
      <c r="M355" s="31">
        <f t="shared" si="23"/>
        <v>215100</v>
      </c>
      <c r="N355" s="28">
        <f t="shared" si="24"/>
        <v>262900</v>
      </c>
      <c r="O355" s="28">
        <v>382400</v>
      </c>
    </row>
    <row r="356" spans="1:15" x14ac:dyDescent="0.35">
      <c r="A356">
        <v>733187002</v>
      </c>
      <c r="B356" t="s">
        <v>123</v>
      </c>
      <c r="C356" t="s">
        <v>92</v>
      </c>
      <c r="D356" t="s">
        <v>122</v>
      </c>
      <c r="E356" s="30" t="s">
        <v>14</v>
      </c>
      <c r="F356" s="31">
        <v>0</v>
      </c>
      <c r="G356" s="31">
        <v>0</v>
      </c>
      <c r="H356" s="31">
        <v>0</v>
      </c>
      <c r="I356" s="31">
        <v>1</v>
      </c>
      <c r="J356" s="31">
        <f t="shared" si="22"/>
        <v>1</v>
      </c>
      <c r="K356" s="28">
        <v>498000</v>
      </c>
      <c r="L356" s="29">
        <v>0.45</v>
      </c>
      <c r="M356" s="31">
        <f t="shared" si="23"/>
        <v>224100</v>
      </c>
      <c r="N356" s="28">
        <f t="shared" si="24"/>
        <v>273900</v>
      </c>
      <c r="O356" s="28">
        <v>398400</v>
      </c>
    </row>
    <row r="357" spans="1:15" x14ac:dyDescent="0.35">
      <c r="A357">
        <v>733187005</v>
      </c>
      <c r="B357" t="s">
        <v>779</v>
      </c>
      <c r="C357" t="s">
        <v>92</v>
      </c>
      <c r="D357" t="s">
        <v>122</v>
      </c>
      <c r="E357" s="30" t="s">
        <v>14</v>
      </c>
      <c r="F357" s="31">
        <v>0</v>
      </c>
      <c r="G357" s="31">
        <v>0</v>
      </c>
      <c r="H357" s="31">
        <v>0</v>
      </c>
      <c r="I357" s="31">
        <v>7</v>
      </c>
      <c r="J357" s="31">
        <f t="shared" si="22"/>
        <v>7</v>
      </c>
      <c r="K357" s="28">
        <v>498000</v>
      </c>
      <c r="L357" s="29">
        <v>0.45</v>
      </c>
      <c r="M357" s="31">
        <f t="shared" si="23"/>
        <v>224100</v>
      </c>
      <c r="N357" s="28">
        <f t="shared" si="24"/>
        <v>273900</v>
      </c>
      <c r="O357" s="28">
        <v>398400</v>
      </c>
    </row>
    <row r="358" spans="1:15" x14ac:dyDescent="0.35">
      <c r="A358">
        <v>733187009</v>
      </c>
      <c r="B358" t="s">
        <v>124</v>
      </c>
      <c r="C358" t="s">
        <v>92</v>
      </c>
      <c r="D358" t="s">
        <v>122</v>
      </c>
      <c r="E358" s="30" t="s">
        <v>14</v>
      </c>
      <c r="F358" s="31">
        <v>0</v>
      </c>
      <c r="G358" s="31">
        <v>0</v>
      </c>
      <c r="H358" s="31">
        <v>0</v>
      </c>
      <c r="I358" s="31">
        <v>1</v>
      </c>
      <c r="J358" s="31">
        <f t="shared" si="22"/>
        <v>1</v>
      </c>
      <c r="K358" s="28">
        <v>498000</v>
      </c>
      <c r="L358" s="29">
        <v>0.45</v>
      </c>
      <c r="M358" s="31">
        <f t="shared" si="23"/>
        <v>224100</v>
      </c>
      <c r="N358" s="28">
        <f t="shared" si="24"/>
        <v>273900</v>
      </c>
      <c r="O358" s="28">
        <v>398400</v>
      </c>
    </row>
    <row r="359" spans="1:15" x14ac:dyDescent="0.35">
      <c r="A359">
        <v>733187010</v>
      </c>
      <c r="B359" t="s">
        <v>121</v>
      </c>
      <c r="C359" t="s">
        <v>92</v>
      </c>
      <c r="D359" t="s">
        <v>122</v>
      </c>
      <c r="E359" s="30" t="s">
        <v>14</v>
      </c>
      <c r="F359" s="31">
        <v>0</v>
      </c>
      <c r="G359" s="31">
        <v>0</v>
      </c>
      <c r="H359" s="31">
        <v>0</v>
      </c>
      <c r="I359" s="31">
        <v>2</v>
      </c>
      <c r="J359" s="31">
        <f t="shared" si="22"/>
        <v>2</v>
      </c>
      <c r="K359" s="28">
        <v>498000</v>
      </c>
      <c r="L359" s="29">
        <v>0.45</v>
      </c>
      <c r="M359" s="31">
        <f t="shared" si="23"/>
        <v>224100</v>
      </c>
      <c r="N359" s="28">
        <f t="shared" si="24"/>
        <v>273900</v>
      </c>
      <c r="O359" s="28">
        <v>398400</v>
      </c>
    </row>
    <row r="360" spans="1:15" x14ac:dyDescent="0.35">
      <c r="A360">
        <v>735666002</v>
      </c>
      <c r="B360" t="s">
        <v>780</v>
      </c>
      <c r="C360" t="s">
        <v>92</v>
      </c>
      <c r="D360" t="s">
        <v>122</v>
      </c>
      <c r="E360" s="30" t="s">
        <v>14</v>
      </c>
      <c r="F360" s="31">
        <v>0</v>
      </c>
      <c r="G360" s="31">
        <v>0</v>
      </c>
      <c r="H360" s="31">
        <v>0</v>
      </c>
      <c r="I360" s="31">
        <v>7</v>
      </c>
      <c r="J360" s="31">
        <f t="shared" si="22"/>
        <v>7</v>
      </c>
      <c r="K360" s="28">
        <v>498000</v>
      </c>
      <c r="L360" s="29">
        <v>0.45</v>
      </c>
      <c r="M360" s="31">
        <f t="shared" si="23"/>
        <v>224100</v>
      </c>
      <c r="N360" s="28">
        <f t="shared" si="24"/>
        <v>273900</v>
      </c>
      <c r="O360" s="28">
        <v>398400</v>
      </c>
    </row>
    <row r="361" spans="1:15" x14ac:dyDescent="0.35">
      <c r="A361">
        <v>735666004</v>
      </c>
      <c r="B361" t="s">
        <v>781</v>
      </c>
      <c r="C361" t="s">
        <v>92</v>
      </c>
      <c r="D361" t="s">
        <v>122</v>
      </c>
      <c r="E361" s="30" t="s">
        <v>14</v>
      </c>
      <c r="F361" s="31">
        <v>0</v>
      </c>
      <c r="G361" s="31">
        <v>0</v>
      </c>
      <c r="H361" s="31">
        <v>0</v>
      </c>
      <c r="I361" s="31">
        <v>1</v>
      </c>
      <c r="J361" s="31">
        <f t="shared" si="22"/>
        <v>1</v>
      </c>
      <c r="K361" s="28">
        <v>498000</v>
      </c>
      <c r="L361" s="29">
        <v>0.45</v>
      </c>
      <c r="M361" s="31">
        <f t="shared" si="23"/>
        <v>224100</v>
      </c>
      <c r="N361" s="28">
        <f t="shared" si="24"/>
        <v>273900</v>
      </c>
      <c r="O361" s="28">
        <v>398400</v>
      </c>
    </row>
    <row r="362" spans="1:15" x14ac:dyDescent="0.35">
      <c r="A362">
        <v>735666005</v>
      </c>
      <c r="B362" t="s">
        <v>128</v>
      </c>
      <c r="C362" t="s">
        <v>92</v>
      </c>
      <c r="D362" t="s">
        <v>122</v>
      </c>
      <c r="E362" s="30" t="s">
        <v>14</v>
      </c>
      <c r="F362" s="31">
        <v>0</v>
      </c>
      <c r="G362" s="31">
        <v>0</v>
      </c>
      <c r="H362" s="31">
        <v>0</v>
      </c>
      <c r="I362" s="31">
        <v>4</v>
      </c>
      <c r="J362" s="31">
        <f t="shared" si="22"/>
        <v>4</v>
      </c>
      <c r="K362" s="28">
        <v>498000</v>
      </c>
      <c r="L362" s="29">
        <v>0.45</v>
      </c>
      <c r="M362" s="31">
        <f t="shared" si="23"/>
        <v>224100</v>
      </c>
      <c r="N362" s="28">
        <f t="shared" si="24"/>
        <v>273900</v>
      </c>
      <c r="O362" s="28">
        <v>398400</v>
      </c>
    </row>
    <row r="363" spans="1:15" x14ac:dyDescent="0.35">
      <c r="A363">
        <v>735666006</v>
      </c>
      <c r="B363" t="s">
        <v>1821</v>
      </c>
      <c r="C363" t="s">
        <v>92</v>
      </c>
      <c r="D363" t="s">
        <v>122</v>
      </c>
      <c r="E363" s="30" t="s">
        <v>14</v>
      </c>
      <c r="F363" s="31">
        <v>0</v>
      </c>
      <c r="G363" s="31">
        <v>0</v>
      </c>
      <c r="H363" s="31">
        <v>0</v>
      </c>
      <c r="I363" s="31">
        <v>1</v>
      </c>
      <c r="J363" s="31">
        <f t="shared" si="22"/>
        <v>1</v>
      </c>
      <c r="K363" s="28">
        <v>498000</v>
      </c>
      <c r="L363" s="29">
        <v>0.45</v>
      </c>
      <c r="M363" s="31">
        <f t="shared" si="23"/>
        <v>224100</v>
      </c>
      <c r="N363" s="28">
        <f t="shared" si="24"/>
        <v>273900</v>
      </c>
      <c r="O363" s="28">
        <v>398400</v>
      </c>
    </row>
    <row r="364" spans="1:15" x14ac:dyDescent="0.35">
      <c r="A364">
        <v>735666007</v>
      </c>
      <c r="B364" t="s">
        <v>126</v>
      </c>
      <c r="C364" t="s">
        <v>92</v>
      </c>
      <c r="D364" t="s">
        <v>122</v>
      </c>
      <c r="E364" s="30" t="s">
        <v>14</v>
      </c>
      <c r="F364" s="31">
        <v>0</v>
      </c>
      <c r="G364" s="31">
        <v>0</v>
      </c>
      <c r="H364" s="31">
        <v>0</v>
      </c>
      <c r="I364" s="31">
        <v>3</v>
      </c>
      <c r="J364" s="31">
        <f t="shared" si="22"/>
        <v>3</v>
      </c>
      <c r="K364" s="28">
        <v>498000</v>
      </c>
      <c r="L364" s="29">
        <v>0.45</v>
      </c>
      <c r="M364" s="31">
        <f t="shared" si="23"/>
        <v>224100</v>
      </c>
      <c r="N364" s="28">
        <f t="shared" si="24"/>
        <v>273900</v>
      </c>
      <c r="O364" s="28">
        <v>398400</v>
      </c>
    </row>
    <row r="365" spans="1:15" x14ac:dyDescent="0.35">
      <c r="A365">
        <v>735666008</v>
      </c>
      <c r="B365" t="s">
        <v>125</v>
      </c>
      <c r="C365" t="s">
        <v>92</v>
      </c>
      <c r="D365" t="s">
        <v>122</v>
      </c>
      <c r="E365" s="30" t="s">
        <v>14</v>
      </c>
      <c r="F365" s="31">
        <v>0</v>
      </c>
      <c r="G365" s="31">
        <v>0</v>
      </c>
      <c r="H365" s="31">
        <v>0</v>
      </c>
      <c r="I365" s="31">
        <v>3</v>
      </c>
      <c r="J365" s="31">
        <f t="shared" si="22"/>
        <v>3</v>
      </c>
      <c r="K365" s="28">
        <v>498000</v>
      </c>
      <c r="L365" s="29">
        <v>0.45</v>
      </c>
      <c r="M365" s="31">
        <f t="shared" si="23"/>
        <v>224100</v>
      </c>
      <c r="N365" s="28">
        <f t="shared" si="24"/>
        <v>273900</v>
      </c>
      <c r="O365" s="28">
        <v>398400</v>
      </c>
    </row>
    <row r="366" spans="1:15" x14ac:dyDescent="0.35">
      <c r="A366">
        <v>735666010</v>
      </c>
      <c r="B366" t="s">
        <v>782</v>
      </c>
      <c r="C366" t="s">
        <v>92</v>
      </c>
      <c r="D366" t="s">
        <v>122</v>
      </c>
      <c r="E366" s="30" t="s">
        <v>14</v>
      </c>
      <c r="F366" s="31">
        <v>0</v>
      </c>
      <c r="G366" s="31">
        <v>0</v>
      </c>
      <c r="H366" s="31">
        <v>0</v>
      </c>
      <c r="I366" s="31">
        <v>2</v>
      </c>
      <c r="J366" s="31">
        <f t="shared" si="22"/>
        <v>2</v>
      </c>
      <c r="K366" s="28">
        <v>498000</v>
      </c>
      <c r="L366" s="29">
        <v>0.45</v>
      </c>
      <c r="M366" s="31">
        <f t="shared" si="23"/>
        <v>224100</v>
      </c>
      <c r="N366" s="28">
        <f t="shared" si="24"/>
        <v>273900</v>
      </c>
      <c r="O366" s="28">
        <v>398400</v>
      </c>
    </row>
    <row r="367" spans="1:15" x14ac:dyDescent="0.35">
      <c r="A367">
        <v>735667001</v>
      </c>
      <c r="B367" t="s">
        <v>131</v>
      </c>
      <c r="C367" t="s">
        <v>92</v>
      </c>
      <c r="D367" t="s">
        <v>122</v>
      </c>
      <c r="E367" s="30" t="s">
        <v>14</v>
      </c>
      <c r="F367" s="31">
        <v>0</v>
      </c>
      <c r="G367" s="31">
        <v>0</v>
      </c>
      <c r="H367" s="31">
        <v>0</v>
      </c>
      <c r="I367" s="31">
        <v>1</v>
      </c>
      <c r="J367" s="31">
        <f t="shared" si="22"/>
        <v>1</v>
      </c>
      <c r="K367" s="28">
        <v>478000</v>
      </c>
      <c r="L367" s="29">
        <v>0.45</v>
      </c>
      <c r="M367" s="31">
        <f t="shared" si="23"/>
        <v>215100</v>
      </c>
      <c r="N367" s="28">
        <f t="shared" si="24"/>
        <v>262900</v>
      </c>
      <c r="O367" s="28">
        <v>382400</v>
      </c>
    </row>
    <row r="368" spans="1:15" x14ac:dyDescent="0.35">
      <c r="A368">
        <v>735667002</v>
      </c>
      <c r="B368" t="s">
        <v>783</v>
      </c>
      <c r="C368" t="s">
        <v>92</v>
      </c>
      <c r="D368" t="s">
        <v>122</v>
      </c>
      <c r="E368" s="30" t="s">
        <v>14</v>
      </c>
      <c r="F368" s="31">
        <v>0</v>
      </c>
      <c r="G368" s="31">
        <v>0</v>
      </c>
      <c r="H368" s="31">
        <v>0</v>
      </c>
      <c r="I368" s="31">
        <v>7</v>
      </c>
      <c r="J368" s="31">
        <f t="shared" si="22"/>
        <v>7</v>
      </c>
      <c r="K368" s="28">
        <v>478000</v>
      </c>
      <c r="L368" s="29">
        <v>0.45</v>
      </c>
      <c r="M368" s="31">
        <f t="shared" si="23"/>
        <v>215100</v>
      </c>
      <c r="N368" s="28">
        <f t="shared" si="24"/>
        <v>262900</v>
      </c>
      <c r="O368" s="28">
        <v>382400</v>
      </c>
    </row>
    <row r="369" spans="1:15" x14ac:dyDescent="0.35">
      <c r="A369">
        <v>735667007</v>
      </c>
      <c r="B369" t="s">
        <v>132</v>
      </c>
      <c r="C369" t="s">
        <v>92</v>
      </c>
      <c r="D369" t="s">
        <v>122</v>
      </c>
      <c r="E369" s="30" t="s">
        <v>14</v>
      </c>
      <c r="F369" s="31">
        <v>0</v>
      </c>
      <c r="G369" s="31">
        <v>0</v>
      </c>
      <c r="H369" s="31">
        <v>0</v>
      </c>
      <c r="I369" s="31">
        <v>8</v>
      </c>
      <c r="J369" s="31">
        <f t="shared" si="22"/>
        <v>8</v>
      </c>
      <c r="K369" s="28">
        <v>478000</v>
      </c>
      <c r="L369" s="29">
        <v>0.45</v>
      </c>
      <c r="M369" s="31">
        <f t="shared" si="23"/>
        <v>215100</v>
      </c>
      <c r="N369" s="28">
        <f t="shared" si="24"/>
        <v>262900</v>
      </c>
      <c r="O369" s="28">
        <v>382400</v>
      </c>
    </row>
    <row r="370" spans="1:15" x14ac:dyDescent="0.35">
      <c r="A370">
        <v>735667016</v>
      </c>
      <c r="B370" t="s">
        <v>133</v>
      </c>
      <c r="C370" t="s">
        <v>92</v>
      </c>
      <c r="D370" t="s">
        <v>122</v>
      </c>
      <c r="E370" s="30" t="s">
        <v>14</v>
      </c>
      <c r="F370" s="31">
        <v>0</v>
      </c>
      <c r="G370" s="31">
        <v>0</v>
      </c>
      <c r="H370" s="31">
        <v>0</v>
      </c>
      <c r="I370" s="31">
        <v>6</v>
      </c>
      <c r="J370" s="31">
        <f t="shared" si="22"/>
        <v>6</v>
      </c>
      <c r="K370" s="28">
        <v>478000</v>
      </c>
      <c r="L370" s="29">
        <v>0.45</v>
      </c>
      <c r="M370" s="31">
        <f t="shared" si="23"/>
        <v>215100</v>
      </c>
      <c r="N370" s="28">
        <f t="shared" si="24"/>
        <v>262900</v>
      </c>
      <c r="O370" s="28">
        <v>382400</v>
      </c>
    </row>
    <row r="371" spans="1:15" x14ac:dyDescent="0.35">
      <c r="A371">
        <v>737163008</v>
      </c>
      <c r="B371" t="s">
        <v>129</v>
      </c>
      <c r="C371" t="s">
        <v>92</v>
      </c>
      <c r="D371" t="s">
        <v>122</v>
      </c>
      <c r="E371" s="30" t="s">
        <v>14</v>
      </c>
      <c r="F371" s="31">
        <v>0</v>
      </c>
      <c r="G371" s="31">
        <v>0</v>
      </c>
      <c r="H371" s="31">
        <v>0</v>
      </c>
      <c r="I371" s="31">
        <v>1</v>
      </c>
      <c r="J371" s="31">
        <f t="shared" si="22"/>
        <v>1</v>
      </c>
      <c r="K371" s="28">
        <v>428000</v>
      </c>
      <c r="L371" s="29">
        <v>0.45</v>
      </c>
      <c r="M371" s="31">
        <f t="shared" si="23"/>
        <v>192600</v>
      </c>
      <c r="N371" s="28">
        <f t="shared" si="24"/>
        <v>235400.00000000003</v>
      </c>
      <c r="O371" s="28">
        <v>342400</v>
      </c>
    </row>
    <row r="372" spans="1:15" x14ac:dyDescent="0.35">
      <c r="A372">
        <v>733012003</v>
      </c>
      <c r="B372" t="s">
        <v>786</v>
      </c>
      <c r="C372" t="s">
        <v>89</v>
      </c>
      <c r="D372" t="s">
        <v>122</v>
      </c>
      <c r="E372" s="30" t="s">
        <v>14</v>
      </c>
      <c r="F372" s="31">
        <v>0</v>
      </c>
      <c r="G372" s="31">
        <v>0</v>
      </c>
      <c r="H372" s="31">
        <v>0</v>
      </c>
      <c r="I372" s="31">
        <v>1</v>
      </c>
      <c r="J372" s="31">
        <f t="shared" si="22"/>
        <v>1</v>
      </c>
      <c r="K372" s="28">
        <v>298000</v>
      </c>
      <c r="L372" s="29">
        <v>0.81</v>
      </c>
      <c r="M372" s="31">
        <f t="shared" si="23"/>
        <v>241380.00000000003</v>
      </c>
      <c r="N372" s="28">
        <f t="shared" si="24"/>
        <v>56619.999999999985</v>
      </c>
      <c r="O372" s="28">
        <v>149000</v>
      </c>
    </row>
    <row r="373" spans="1:15" x14ac:dyDescent="0.35">
      <c r="A373">
        <v>733110001</v>
      </c>
      <c r="B373" t="s">
        <v>787</v>
      </c>
      <c r="C373" t="s">
        <v>89</v>
      </c>
      <c r="D373" t="s">
        <v>122</v>
      </c>
      <c r="E373" s="30" t="s">
        <v>14</v>
      </c>
      <c r="F373" s="31">
        <v>0</v>
      </c>
      <c r="G373" s="31">
        <v>0</v>
      </c>
      <c r="H373" s="31">
        <v>0</v>
      </c>
      <c r="I373" s="31">
        <v>1</v>
      </c>
      <c r="J373" s="31">
        <f t="shared" si="22"/>
        <v>1</v>
      </c>
      <c r="K373" s="28">
        <v>158000</v>
      </c>
      <c r="L373" s="29">
        <v>0.81</v>
      </c>
      <c r="M373" s="31">
        <f t="shared" si="23"/>
        <v>127980.00000000001</v>
      </c>
      <c r="N373" s="28">
        <f t="shared" si="24"/>
        <v>30019.999999999993</v>
      </c>
      <c r="O373" s="28">
        <v>110600</v>
      </c>
    </row>
    <row r="374" spans="1:15" x14ac:dyDescent="0.35">
      <c r="A374">
        <v>733110005</v>
      </c>
      <c r="B374" t="s">
        <v>788</v>
      </c>
      <c r="C374" t="s">
        <v>89</v>
      </c>
      <c r="D374" t="s">
        <v>122</v>
      </c>
      <c r="E374" s="30" t="s">
        <v>14</v>
      </c>
      <c r="F374" s="31">
        <v>0</v>
      </c>
      <c r="G374" s="31">
        <v>0</v>
      </c>
      <c r="H374" s="31">
        <v>0</v>
      </c>
      <c r="I374" s="31">
        <v>5</v>
      </c>
      <c r="J374" s="31">
        <f t="shared" si="22"/>
        <v>5</v>
      </c>
      <c r="K374" s="28">
        <v>158000</v>
      </c>
      <c r="L374" s="29">
        <v>0.81</v>
      </c>
      <c r="M374" s="31">
        <f t="shared" si="23"/>
        <v>127980.00000000001</v>
      </c>
      <c r="N374" s="28">
        <f t="shared" si="24"/>
        <v>30019.999999999993</v>
      </c>
      <c r="O374" s="28">
        <v>110600</v>
      </c>
    </row>
    <row r="375" spans="1:15" x14ac:dyDescent="0.35">
      <c r="A375">
        <v>733110006</v>
      </c>
      <c r="B375" t="s">
        <v>789</v>
      </c>
      <c r="C375" t="s">
        <v>89</v>
      </c>
      <c r="D375" t="s">
        <v>122</v>
      </c>
      <c r="E375" s="30" t="s">
        <v>14</v>
      </c>
      <c r="F375" s="31">
        <v>0</v>
      </c>
      <c r="G375" s="31">
        <v>0</v>
      </c>
      <c r="H375" s="31">
        <v>0</v>
      </c>
      <c r="I375" s="31">
        <v>1</v>
      </c>
      <c r="J375" s="31">
        <f t="shared" si="22"/>
        <v>1</v>
      </c>
      <c r="K375" s="28">
        <v>158000</v>
      </c>
      <c r="L375" s="29">
        <v>0.81</v>
      </c>
      <c r="M375" s="31">
        <f t="shared" si="23"/>
        <v>127980.00000000001</v>
      </c>
      <c r="N375" s="28">
        <f t="shared" si="24"/>
        <v>30019.999999999993</v>
      </c>
      <c r="O375" s="28">
        <v>110600</v>
      </c>
    </row>
    <row r="376" spans="1:15" x14ac:dyDescent="0.35">
      <c r="A376">
        <v>733110007</v>
      </c>
      <c r="B376" t="s">
        <v>790</v>
      </c>
      <c r="C376" t="s">
        <v>89</v>
      </c>
      <c r="D376" t="s">
        <v>122</v>
      </c>
      <c r="E376" s="30" t="s">
        <v>14</v>
      </c>
      <c r="F376" s="31">
        <v>0</v>
      </c>
      <c r="G376" s="31">
        <v>0</v>
      </c>
      <c r="H376" s="31">
        <v>0</v>
      </c>
      <c r="I376" s="31">
        <v>1</v>
      </c>
      <c r="J376" s="31">
        <f t="shared" si="22"/>
        <v>1</v>
      </c>
      <c r="K376" s="28">
        <v>158000</v>
      </c>
      <c r="L376" s="29">
        <v>0.81</v>
      </c>
      <c r="M376" s="31">
        <f t="shared" si="23"/>
        <v>127980.00000000001</v>
      </c>
      <c r="N376" s="28">
        <f t="shared" si="24"/>
        <v>30019.999999999993</v>
      </c>
      <c r="O376" s="28">
        <v>110600</v>
      </c>
    </row>
    <row r="377" spans="1:15" x14ac:dyDescent="0.35">
      <c r="A377">
        <v>733110008</v>
      </c>
      <c r="B377" t="s">
        <v>791</v>
      </c>
      <c r="C377" t="s">
        <v>89</v>
      </c>
      <c r="D377" t="s">
        <v>122</v>
      </c>
      <c r="E377" s="30" t="s">
        <v>14</v>
      </c>
      <c r="F377" s="31">
        <v>0</v>
      </c>
      <c r="G377" s="31">
        <v>0</v>
      </c>
      <c r="H377" s="31">
        <v>0</v>
      </c>
      <c r="I377" s="31">
        <v>7</v>
      </c>
      <c r="J377" s="31">
        <f t="shared" si="22"/>
        <v>7</v>
      </c>
      <c r="K377" s="28">
        <v>158000</v>
      </c>
      <c r="L377" s="29">
        <v>0.81</v>
      </c>
      <c r="M377" s="31">
        <f t="shared" si="23"/>
        <v>127980.00000000001</v>
      </c>
      <c r="N377" s="28">
        <f t="shared" si="24"/>
        <v>30019.999999999993</v>
      </c>
      <c r="O377" s="28">
        <v>110600</v>
      </c>
    </row>
    <row r="378" spans="1:15" x14ac:dyDescent="0.35">
      <c r="A378">
        <v>733110009</v>
      </c>
      <c r="B378" t="s">
        <v>792</v>
      </c>
      <c r="C378" t="s">
        <v>89</v>
      </c>
      <c r="D378" t="s">
        <v>122</v>
      </c>
      <c r="E378" s="30" t="s">
        <v>14</v>
      </c>
      <c r="F378" s="31">
        <v>0</v>
      </c>
      <c r="G378" s="31">
        <v>0</v>
      </c>
      <c r="H378" s="31">
        <v>0</v>
      </c>
      <c r="I378" s="31">
        <v>1</v>
      </c>
      <c r="J378" s="31">
        <f t="shared" si="22"/>
        <v>1</v>
      </c>
      <c r="K378" s="28">
        <v>158000</v>
      </c>
      <c r="L378" s="29">
        <v>0.81</v>
      </c>
      <c r="M378" s="31">
        <f t="shared" si="23"/>
        <v>127980.00000000001</v>
      </c>
      <c r="N378" s="28">
        <f t="shared" si="24"/>
        <v>30019.999999999993</v>
      </c>
      <c r="O378" s="28">
        <v>110600</v>
      </c>
    </row>
    <row r="379" spans="1:15" x14ac:dyDescent="0.35">
      <c r="A379">
        <v>735133001</v>
      </c>
      <c r="B379" t="s">
        <v>794</v>
      </c>
      <c r="C379" t="s">
        <v>89</v>
      </c>
      <c r="D379" t="s">
        <v>122</v>
      </c>
      <c r="E379" s="30" t="s">
        <v>14</v>
      </c>
      <c r="F379" s="31">
        <v>0</v>
      </c>
      <c r="G379" s="31">
        <v>0</v>
      </c>
      <c r="H379" s="31">
        <v>0</v>
      </c>
      <c r="I379" s="31">
        <v>1</v>
      </c>
      <c r="J379" s="31">
        <f t="shared" si="22"/>
        <v>1</v>
      </c>
      <c r="K379" s="28">
        <v>298000</v>
      </c>
      <c r="L379" s="29">
        <v>0.81</v>
      </c>
      <c r="M379" s="31">
        <f t="shared" si="23"/>
        <v>241380.00000000003</v>
      </c>
      <c r="N379" s="28">
        <f t="shared" si="24"/>
        <v>56619.999999999985</v>
      </c>
      <c r="O379" s="28">
        <v>149000</v>
      </c>
    </row>
    <row r="380" spans="1:15" x14ac:dyDescent="0.35">
      <c r="A380">
        <v>735133003</v>
      </c>
      <c r="B380" t="s">
        <v>796</v>
      </c>
      <c r="C380" t="s">
        <v>89</v>
      </c>
      <c r="D380" t="s">
        <v>122</v>
      </c>
      <c r="E380" s="30" t="s">
        <v>14</v>
      </c>
      <c r="F380" s="31">
        <v>0</v>
      </c>
      <c r="G380" s="31">
        <v>0</v>
      </c>
      <c r="H380" s="31">
        <v>0</v>
      </c>
      <c r="I380" s="31">
        <v>1</v>
      </c>
      <c r="J380" s="31">
        <f t="shared" si="22"/>
        <v>1</v>
      </c>
      <c r="K380" s="28">
        <v>298000</v>
      </c>
      <c r="L380" s="29">
        <v>0.81</v>
      </c>
      <c r="M380" s="31">
        <f t="shared" si="23"/>
        <v>241380.00000000003</v>
      </c>
      <c r="N380" s="28">
        <f t="shared" si="24"/>
        <v>56619.999999999985</v>
      </c>
      <c r="O380" s="28">
        <v>149000</v>
      </c>
    </row>
    <row r="381" spans="1:15" x14ac:dyDescent="0.35">
      <c r="A381">
        <v>735133004</v>
      </c>
      <c r="B381" t="s">
        <v>797</v>
      </c>
      <c r="C381" t="s">
        <v>89</v>
      </c>
      <c r="D381" t="s">
        <v>122</v>
      </c>
      <c r="E381" s="30" t="s">
        <v>14</v>
      </c>
      <c r="F381" s="31">
        <v>0</v>
      </c>
      <c r="G381" s="31">
        <v>0</v>
      </c>
      <c r="H381" s="31">
        <v>0</v>
      </c>
      <c r="I381" s="31">
        <v>2</v>
      </c>
      <c r="J381" s="31">
        <f t="shared" si="22"/>
        <v>2</v>
      </c>
      <c r="K381" s="28">
        <v>298000</v>
      </c>
      <c r="L381" s="29">
        <v>0.81</v>
      </c>
      <c r="M381" s="31">
        <f t="shared" si="23"/>
        <v>241380.00000000003</v>
      </c>
      <c r="N381" s="28">
        <f t="shared" si="24"/>
        <v>56619.999999999985</v>
      </c>
      <c r="O381" s="28">
        <v>149000</v>
      </c>
    </row>
    <row r="382" spans="1:15" x14ac:dyDescent="0.35">
      <c r="A382">
        <v>735133005</v>
      </c>
      <c r="B382" t="s">
        <v>798</v>
      </c>
      <c r="C382" t="s">
        <v>89</v>
      </c>
      <c r="D382" t="s">
        <v>122</v>
      </c>
      <c r="E382" s="30" t="s">
        <v>14</v>
      </c>
      <c r="F382" s="31">
        <v>0</v>
      </c>
      <c r="G382" s="31">
        <v>0</v>
      </c>
      <c r="H382" s="31">
        <v>0</v>
      </c>
      <c r="I382" s="31">
        <v>1</v>
      </c>
      <c r="J382" s="31">
        <f t="shared" si="22"/>
        <v>1</v>
      </c>
      <c r="K382" s="28">
        <v>298000</v>
      </c>
      <c r="L382" s="29">
        <v>0.81</v>
      </c>
      <c r="M382" s="31">
        <f t="shared" si="23"/>
        <v>241380.00000000003</v>
      </c>
      <c r="N382" s="28">
        <f t="shared" si="24"/>
        <v>56619.999999999985</v>
      </c>
      <c r="O382" s="28">
        <v>149000</v>
      </c>
    </row>
    <row r="383" spans="1:15" x14ac:dyDescent="0.35">
      <c r="A383">
        <v>735133006</v>
      </c>
      <c r="B383" t="s">
        <v>799</v>
      </c>
      <c r="C383" t="s">
        <v>89</v>
      </c>
      <c r="D383" t="s">
        <v>122</v>
      </c>
      <c r="E383" s="30" t="s">
        <v>14</v>
      </c>
      <c r="F383" s="31">
        <v>0</v>
      </c>
      <c r="G383" s="31">
        <v>0</v>
      </c>
      <c r="H383" s="31">
        <v>0</v>
      </c>
      <c r="I383" s="31">
        <v>2</v>
      </c>
      <c r="J383" s="31">
        <f t="shared" si="22"/>
        <v>2</v>
      </c>
      <c r="K383" s="28">
        <v>298000</v>
      </c>
      <c r="L383" s="29">
        <v>0.81</v>
      </c>
      <c r="M383" s="31">
        <f t="shared" si="23"/>
        <v>241380.00000000003</v>
      </c>
      <c r="N383" s="28">
        <f t="shared" si="24"/>
        <v>56619.999999999985</v>
      </c>
      <c r="O383" s="28">
        <v>149000</v>
      </c>
    </row>
    <row r="384" spans="1:15" x14ac:dyDescent="0.35">
      <c r="A384">
        <v>735134004</v>
      </c>
      <c r="B384" t="s">
        <v>800</v>
      </c>
      <c r="C384" t="s">
        <v>89</v>
      </c>
      <c r="D384" t="s">
        <v>122</v>
      </c>
      <c r="E384" s="30" t="s">
        <v>14</v>
      </c>
      <c r="F384" s="31">
        <v>0</v>
      </c>
      <c r="G384" s="31">
        <v>0</v>
      </c>
      <c r="H384" s="31">
        <v>0</v>
      </c>
      <c r="I384" s="31">
        <v>1</v>
      </c>
      <c r="J384" s="31">
        <f t="shared" si="22"/>
        <v>1</v>
      </c>
      <c r="K384" s="28">
        <v>228000</v>
      </c>
      <c r="L384" s="29">
        <v>0.81</v>
      </c>
      <c r="M384" s="31">
        <f t="shared" si="23"/>
        <v>184680</v>
      </c>
      <c r="N384" s="28">
        <f t="shared" si="24"/>
        <v>43319.999999999985</v>
      </c>
      <c r="O384" s="28">
        <v>114000</v>
      </c>
    </row>
    <row r="385" spans="1:15" x14ac:dyDescent="0.35">
      <c r="A385">
        <v>735134005</v>
      </c>
      <c r="B385" t="s">
        <v>801</v>
      </c>
      <c r="C385" t="s">
        <v>89</v>
      </c>
      <c r="D385" t="s">
        <v>122</v>
      </c>
      <c r="E385" s="30" t="s">
        <v>14</v>
      </c>
      <c r="F385" s="31">
        <v>0</v>
      </c>
      <c r="G385" s="31">
        <v>0</v>
      </c>
      <c r="H385" s="31">
        <v>0</v>
      </c>
      <c r="I385" s="31">
        <v>2</v>
      </c>
      <c r="J385" s="31">
        <f t="shared" si="22"/>
        <v>2</v>
      </c>
      <c r="K385" s="28">
        <v>228000</v>
      </c>
      <c r="L385" s="29">
        <v>0.81</v>
      </c>
      <c r="M385" s="31">
        <f t="shared" si="23"/>
        <v>184680</v>
      </c>
      <c r="N385" s="28">
        <f t="shared" si="24"/>
        <v>43319.999999999985</v>
      </c>
      <c r="O385" s="28">
        <v>114000</v>
      </c>
    </row>
    <row r="386" spans="1:15" x14ac:dyDescent="0.35">
      <c r="A386">
        <v>735134006</v>
      </c>
      <c r="B386" t="s">
        <v>802</v>
      </c>
      <c r="C386" t="s">
        <v>89</v>
      </c>
      <c r="D386" t="s">
        <v>122</v>
      </c>
      <c r="E386" s="30" t="s">
        <v>14</v>
      </c>
      <c r="F386" s="31">
        <v>0</v>
      </c>
      <c r="G386" s="31">
        <v>0</v>
      </c>
      <c r="H386" s="31">
        <v>0</v>
      </c>
      <c r="I386" s="31">
        <v>1</v>
      </c>
      <c r="J386" s="31">
        <f t="shared" si="22"/>
        <v>1</v>
      </c>
      <c r="K386" s="28">
        <v>228000</v>
      </c>
      <c r="L386" s="29">
        <v>0.81</v>
      </c>
      <c r="M386" s="31">
        <f t="shared" si="23"/>
        <v>184680</v>
      </c>
      <c r="N386" s="28">
        <f t="shared" si="24"/>
        <v>43319.999999999985</v>
      </c>
      <c r="O386" s="28">
        <v>114000</v>
      </c>
    </row>
    <row r="387" spans="1:15" x14ac:dyDescent="0.35">
      <c r="A387">
        <v>735134013</v>
      </c>
      <c r="B387" t="s">
        <v>803</v>
      </c>
      <c r="C387" t="s">
        <v>89</v>
      </c>
      <c r="D387" t="s">
        <v>122</v>
      </c>
      <c r="E387" s="30" t="s">
        <v>14</v>
      </c>
      <c r="F387" s="31">
        <v>0</v>
      </c>
      <c r="G387" s="31">
        <v>0</v>
      </c>
      <c r="H387" s="31">
        <v>0</v>
      </c>
      <c r="I387" s="31">
        <v>1</v>
      </c>
      <c r="J387" s="31">
        <f t="shared" si="22"/>
        <v>1</v>
      </c>
      <c r="K387" s="28">
        <v>228000</v>
      </c>
      <c r="L387" s="29">
        <v>0.81</v>
      </c>
      <c r="M387" s="31">
        <f t="shared" si="23"/>
        <v>184680</v>
      </c>
      <c r="N387" s="28">
        <f t="shared" ref="N387:N390" si="25">K387*(1-L387)</f>
        <v>43319.999999999985</v>
      </c>
      <c r="O387" s="28">
        <v>114000</v>
      </c>
    </row>
    <row r="388" spans="1:15" x14ac:dyDescent="0.35">
      <c r="A388">
        <v>740120005</v>
      </c>
      <c r="B388" t="s">
        <v>804</v>
      </c>
      <c r="C388" t="s">
        <v>89</v>
      </c>
      <c r="D388" t="s">
        <v>122</v>
      </c>
      <c r="E388" s="30" t="s">
        <v>14</v>
      </c>
      <c r="F388" s="31">
        <v>0</v>
      </c>
      <c r="G388" s="31">
        <v>0</v>
      </c>
      <c r="H388" s="31">
        <v>0</v>
      </c>
      <c r="I388" s="31">
        <v>1</v>
      </c>
      <c r="J388" s="31">
        <f t="shared" ref="J388:J451" si="26">SUM(F388:I388)</f>
        <v>1</v>
      </c>
      <c r="K388" s="28">
        <v>148000</v>
      </c>
      <c r="L388" s="29">
        <v>0.81</v>
      </c>
      <c r="M388" s="31">
        <f t="shared" ref="M388:M451" si="27">K388*L388</f>
        <v>119880.00000000001</v>
      </c>
      <c r="N388" s="28">
        <f t="shared" si="25"/>
        <v>28119.999999999993</v>
      </c>
      <c r="O388" s="28">
        <v>103600</v>
      </c>
    </row>
    <row r="389" spans="1:15" x14ac:dyDescent="0.35">
      <c r="A389">
        <v>740834001</v>
      </c>
      <c r="B389" t="s">
        <v>1822</v>
      </c>
      <c r="C389" t="s">
        <v>89</v>
      </c>
      <c r="D389" t="s">
        <v>122</v>
      </c>
      <c r="E389" s="30" t="s">
        <v>14</v>
      </c>
      <c r="F389" s="31">
        <v>0</v>
      </c>
      <c r="G389" s="31">
        <v>0</v>
      </c>
      <c r="H389" s="31">
        <v>2</v>
      </c>
      <c r="I389" s="31">
        <v>39</v>
      </c>
      <c r="J389" s="31">
        <f t="shared" si="26"/>
        <v>41</v>
      </c>
      <c r="K389" s="28">
        <v>178000</v>
      </c>
      <c r="L389" s="29">
        <v>0.81</v>
      </c>
      <c r="M389" s="31">
        <f t="shared" si="27"/>
        <v>144180</v>
      </c>
      <c r="N389" s="28">
        <f t="shared" si="25"/>
        <v>33819.999999999993</v>
      </c>
    </row>
    <row r="390" spans="1:15" x14ac:dyDescent="0.35">
      <c r="A390">
        <v>740834002</v>
      </c>
      <c r="B390" t="s">
        <v>1823</v>
      </c>
      <c r="C390" t="s">
        <v>89</v>
      </c>
      <c r="D390" t="s">
        <v>122</v>
      </c>
      <c r="E390" s="30" t="s">
        <v>14</v>
      </c>
      <c r="F390" s="31">
        <v>0</v>
      </c>
      <c r="G390" s="31">
        <v>0</v>
      </c>
      <c r="H390" s="31">
        <v>1</v>
      </c>
      <c r="I390" s="31">
        <v>58</v>
      </c>
      <c r="J390" s="31">
        <f t="shared" si="26"/>
        <v>59</v>
      </c>
      <c r="K390" s="28">
        <v>178000</v>
      </c>
      <c r="L390" s="29">
        <v>0.81</v>
      </c>
      <c r="M390" s="31">
        <f t="shared" si="27"/>
        <v>144180</v>
      </c>
      <c r="N390" s="28">
        <f t="shared" si="25"/>
        <v>33819.999999999993</v>
      </c>
    </row>
    <row r="391" spans="1:15" x14ac:dyDescent="0.35">
      <c r="A391">
        <v>740834003</v>
      </c>
      <c r="B391" t="s">
        <v>1824</v>
      </c>
      <c r="C391" t="s">
        <v>89</v>
      </c>
      <c r="D391" t="s">
        <v>122</v>
      </c>
      <c r="E391" s="30" t="s">
        <v>14</v>
      </c>
      <c r="F391" s="31">
        <v>0</v>
      </c>
      <c r="G391" s="31">
        <v>0</v>
      </c>
      <c r="H391" s="31">
        <v>0</v>
      </c>
      <c r="I391" s="31">
        <v>5</v>
      </c>
      <c r="J391" s="31">
        <f t="shared" si="26"/>
        <v>5</v>
      </c>
      <c r="K391" s="28">
        <v>178000</v>
      </c>
      <c r="L391" s="29">
        <v>0.45</v>
      </c>
      <c r="M391" s="31">
        <f t="shared" si="27"/>
        <v>80100</v>
      </c>
      <c r="N391" s="28">
        <f t="shared" ref="N387:N450" si="28">K391*(1-L391)</f>
        <v>97900.000000000015</v>
      </c>
    </row>
    <row r="392" spans="1:15" x14ac:dyDescent="0.35">
      <c r="A392">
        <v>740834004</v>
      </c>
      <c r="B392" t="s">
        <v>1825</v>
      </c>
      <c r="C392" t="s">
        <v>89</v>
      </c>
      <c r="D392" t="s">
        <v>122</v>
      </c>
      <c r="E392" s="30" t="s">
        <v>14</v>
      </c>
      <c r="F392" s="31">
        <v>0</v>
      </c>
      <c r="G392" s="31">
        <v>0</v>
      </c>
      <c r="H392" s="31">
        <v>1</v>
      </c>
      <c r="I392" s="31">
        <v>1</v>
      </c>
      <c r="J392" s="31">
        <f t="shared" si="26"/>
        <v>2</v>
      </c>
      <c r="K392" s="28">
        <v>178000</v>
      </c>
      <c r="L392" s="29">
        <v>0.45</v>
      </c>
      <c r="M392" s="31">
        <f t="shared" si="27"/>
        <v>80100</v>
      </c>
      <c r="N392" s="28">
        <f t="shared" si="28"/>
        <v>97900.000000000015</v>
      </c>
    </row>
    <row r="393" spans="1:15" x14ac:dyDescent="0.35">
      <c r="A393">
        <v>740834006</v>
      </c>
      <c r="B393" t="s">
        <v>1826</v>
      </c>
      <c r="C393" t="s">
        <v>89</v>
      </c>
      <c r="D393" t="s">
        <v>122</v>
      </c>
      <c r="E393" s="30" t="s">
        <v>14</v>
      </c>
      <c r="F393" s="31">
        <v>0</v>
      </c>
      <c r="G393" s="31">
        <v>0</v>
      </c>
      <c r="H393" s="31">
        <v>2</v>
      </c>
      <c r="I393" s="31">
        <v>73</v>
      </c>
      <c r="J393" s="31">
        <f t="shared" si="26"/>
        <v>75</v>
      </c>
      <c r="K393" s="28">
        <v>178000</v>
      </c>
      <c r="L393" s="29">
        <v>0.81</v>
      </c>
      <c r="M393" s="31">
        <f t="shared" si="27"/>
        <v>144180</v>
      </c>
      <c r="N393" s="28">
        <f t="shared" si="28"/>
        <v>33819.999999999993</v>
      </c>
    </row>
    <row r="394" spans="1:15" x14ac:dyDescent="0.35">
      <c r="A394">
        <v>740834007</v>
      </c>
      <c r="B394" t="s">
        <v>1827</v>
      </c>
      <c r="C394" t="s">
        <v>89</v>
      </c>
      <c r="D394" t="s">
        <v>122</v>
      </c>
      <c r="E394" s="30" t="s">
        <v>14</v>
      </c>
      <c r="F394" s="31">
        <v>0</v>
      </c>
      <c r="G394" s="31">
        <v>0</v>
      </c>
      <c r="H394" s="31">
        <v>2</v>
      </c>
      <c r="I394" s="31">
        <v>96</v>
      </c>
      <c r="J394" s="31">
        <f t="shared" si="26"/>
        <v>98</v>
      </c>
      <c r="K394" s="28">
        <v>178000</v>
      </c>
      <c r="L394" s="29">
        <v>0.81</v>
      </c>
      <c r="M394" s="31">
        <f t="shared" si="27"/>
        <v>144180</v>
      </c>
      <c r="N394" s="28">
        <f t="shared" si="28"/>
        <v>33819.999999999993</v>
      </c>
    </row>
    <row r="395" spans="1:15" x14ac:dyDescent="0.35">
      <c r="A395">
        <v>740834008</v>
      </c>
      <c r="B395" t="s">
        <v>1828</v>
      </c>
      <c r="C395" t="s">
        <v>89</v>
      </c>
      <c r="D395" t="s">
        <v>122</v>
      </c>
      <c r="E395" s="30" t="s">
        <v>14</v>
      </c>
      <c r="F395" s="31">
        <v>0</v>
      </c>
      <c r="G395" s="31">
        <v>0</v>
      </c>
      <c r="H395" s="31">
        <v>1</v>
      </c>
      <c r="I395" s="31">
        <v>75</v>
      </c>
      <c r="J395" s="31">
        <f t="shared" si="26"/>
        <v>76</v>
      </c>
      <c r="K395" s="28">
        <v>178000</v>
      </c>
      <c r="L395" s="29">
        <v>0.45</v>
      </c>
      <c r="M395" s="31">
        <f t="shared" si="27"/>
        <v>80100</v>
      </c>
      <c r="N395" s="28">
        <f t="shared" si="28"/>
        <v>97900.000000000015</v>
      </c>
    </row>
    <row r="396" spans="1:15" x14ac:dyDescent="0.35">
      <c r="A396">
        <v>740834009</v>
      </c>
      <c r="B396" t="s">
        <v>1829</v>
      </c>
      <c r="C396" t="s">
        <v>89</v>
      </c>
      <c r="D396" t="s">
        <v>122</v>
      </c>
      <c r="E396" s="30" t="s">
        <v>14</v>
      </c>
      <c r="F396" s="31">
        <v>0</v>
      </c>
      <c r="G396" s="31">
        <v>0</v>
      </c>
      <c r="H396" s="31">
        <v>1</v>
      </c>
      <c r="I396" s="31">
        <v>34</v>
      </c>
      <c r="J396" s="31">
        <f t="shared" si="26"/>
        <v>35</v>
      </c>
      <c r="K396" s="28">
        <v>178000</v>
      </c>
      <c r="L396" s="29">
        <v>0.45</v>
      </c>
      <c r="M396" s="31">
        <f t="shared" si="27"/>
        <v>80100</v>
      </c>
      <c r="N396" s="28">
        <f t="shared" si="28"/>
        <v>97900.000000000015</v>
      </c>
    </row>
    <row r="397" spans="1:15" x14ac:dyDescent="0.35">
      <c r="A397">
        <v>740834010</v>
      </c>
      <c r="B397" t="s">
        <v>1830</v>
      </c>
      <c r="C397" t="s">
        <v>89</v>
      </c>
      <c r="D397" t="s">
        <v>122</v>
      </c>
      <c r="E397" s="30" t="s">
        <v>14</v>
      </c>
      <c r="F397" s="31">
        <v>0</v>
      </c>
      <c r="G397" s="31">
        <v>0</v>
      </c>
      <c r="H397" s="31">
        <v>1</v>
      </c>
      <c r="I397" s="31">
        <v>12</v>
      </c>
      <c r="J397" s="31">
        <f t="shared" si="26"/>
        <v>13</v>
      </c>
      <c r="K397" s="28">
        <v>178000</v>
      </c>
      <c r="L397" s="29">
        <v>0.45</v>
      </c>
      <c r="M397" s="31">
        <f t="shared" si="27"/>
        <v>80100</v>
      </c>
      <c r="N397" s="28">
        <f t="shared" si="28"/>
        <v>97900.000000000015</v>
      </c>
    </row>
    <row r="398" spans="1:15" x14ac:dyDescent="0.35">
      <c r="A398">
        <v>740834011</v>
      </c>
      <c r="B398" t="s">
        <v>1831</v>
      </c>
      <c r="C398" t="s">
        <v>89</v>
      </c>
      <c r="D398" t="s">
        <v>122</v>
      </c>
      <c r="E398" s="30" t="s">
        <v>14</v>
      </c>
      <c r="F398" s="31">
        <v>0</v>
      </c>
      <c r="G398" s="31">
        <v>0</v>
      </c>
      <c r="H398" s="31">
        <v>2</v>
      </c>
      <c r="I398" s="31">
        <v>68</v>
      </c>
      <c r="J398" s="31">
        <f t="shared" si="26"/>
        <v>70</v>
      </c>
      <c r="K398" s="28">
        <v>178000</v>
      </c>
      <c r="L398" s="29">
        <v>0.81</v>
      </c>
      <c r="M398" s="31">
        <f t="shared" si="27"/>
        <v>144180</v>
      </c>
      <c r="N398" s="28">
        <f t="shared" si="28"/>
        <v>33819.999999999993</v>
      </c>
    </row>
    <row r="399" spans="1:15" x14ac:dyDescent="0.35">
      <c r="A399">
        <v>740834012</v>
      </c>
      <c r="B399" t="s">
        <v>1832</v>
      </c>
      <c r="C399" t="s">
        <v>89</v>
      </c>
      <c r="D399" t="s">
        <v>122</v>
      </c>
      <c r="E399" s="30" t="s">
        <v>14</v>
      </c>
      <c r="F399" s="31">
        <v>0</v>
      </c>
      <c r="G399" s="31">
        <v>0</v>
      </c>
      <c r="H399" s="31">
        <v>0</v>
      </c>
      <c r="I399" s="31">
        <v>85</v>
      </c>
      <c r="J399" s="31">
        <f t="shared" si="26"/>
        <v>85</v>
      </c>
      <c r="K399" s="28">
        <v>178000</v>
      </c>
      <c r="L399" s="29">
        <v>0.81</v>
      </c>
      <c r="M399" s="31">
        <f t="shared" si="27"/>
        <v>144180</v>
      </c>
      <c r="N399" s="28">
        <f t="shared" si="28"/>
        <v>33819.999999999993</v>
      </c>
    </row>
    <row r="400" spans="1:15" x14ac:dyDescent="0.35">
      <c r="A400">
        <v>740834013</v>
      </c>
      <c r="B400" t="s">
        <v>1833</v>
      </c>
      <c r="C400" t="s">
        <v>89</v>
      </c>
      <c r="D400" t="s">
        <v>122</v>
      </c>
      <c r="E400" s="30" t="s">
        <v>14</v>
      </c>
      <c r="F400" s="31">
        <v>0</v>
      </c>
      <c r="G400" s="31">
        <v>0</v>
      </c>
      <c r="H400" s="31">
        <v>0</v>
      </c>
      <c r="I400" s="31">
        <v>61</v>
      </c>
      <c r="J400" s="31">
        <f t="shared" si="26"/>
        <v>61</v>
      </c>
      <c r="K400" s="28">
        <v>178000</v>
      </c>
      <c r="L400" s="29">
        <v>0.45</v>
      </c>
      <c r="M400" s="31">
        <f t="shared" si="27"/>
        <v>80100</v>
      </c>
      <c r="N400" s="28">
        <f t="shared" si="28"/>
        <v>97900.000000000015</v>
      </c>
    </row>
    <row r="401" spans="1:15" x14ac:dyDescent="0.35">
      <c r="A401">
        <v>740834014</v>
      </c>
      <c r="B401" t="s">
        <v>1834</v>
      </c>
      <c r="C401" t="s">
        <v>89</v>
      </c>
      <c r="D401" t="s">
        <v>122</v>
      </c>
      <c r="E401" s="30" t="s">
        <v>14</v>
      </c>
      <c r="F401" s="31">
        <v>0</v>
      </c>
      <c r="G401" s="31">
        <v>0</v>
      </c>
      <c r="H401" s="31">
        <v>0</v>
      </c>
      <c r="I401" s="31">
        <v>13</v>
      </c>
      <c r="J401" s="31">
        <f t="shared" si="26"/>
        <v>13</v>
      </c>
      <c r="K401" s="28">
        <v>178000</v>
      </c>
      <c r="L401" s="29">
        <v>0.45</v>
      </c>
      <c r="M401" s="31">
        <f t="shared" si="27"/>
        <v>80100</v>
      </c>
      <c r="N401" s="28">
        <f t="shared" si="28"/>
        <v>97900.000000000015</v>
      </c>
    </row>
    <row r="402" spans="1:15" x14ac:dyDescent="0.35">
      <c r="A402">
        <v>740834015</v>
      </c>
      <c r="B402" t="s">
        <v>1835</v>
      </c>
      <c r="C402" t="s">
        <v>89</v>
      </c>
      <c r="D402" t="s">
        <v>122</v>
      </c>
      <c r="E402" s="30" t="s">
        <v>14</v>
      </c>
      <c r="F402" s="31">
        <v>0</v>
      </c>
      <c r="G402" s="31">
        <v>0</v>
      </c>
      <c r="H402" s="31">
        <v>1</v>
      </c>
      <c r="I402" s="31">
        <v>5</v>
      </c>
      <c r="J402" s="31">
        <f t="shared" si="26"/>
        <v>6</v>
      </c>
      <c r="K402" s="28">
        <v>178000</v>
      </c>
      <c r="L402" s="29">
        <v>0.45</v>
      </c>
      <c r="M402" s="31">
        <f t="shared" si="27"/>
        <v>80100</v>
      </c>
      <c r="N402" s="28">
        <f t="shared" si="28"/>
        <v>97900.000000000015</v>
      </c>
    </row>
    <row r="403" spans="1:15" x14ac:dyDescent="0.35">
      <c r="A403">
        <v>740834016</v>
      </c>
      <c r="B403" t="s">
        <v>1836</v>
      </c>
      <c r="C403" t="s">
        <v>89</v>
      </c>
      <c r="D403" t="s">
        <v>122</v>
      </c>
      <c r="E403" s="30" t="s">
        <v>14</v>
      </c>
      <c r="F403" s="31">
        <v>0</v>
      </c>
      <c r="G403" s="31">
        <v>0</v>
      </c>
      <c r="H403" s="31">
        <v>2</v>
      </c>
      <c r="I403" s="31">
        <v>89</v>
      </c>
      <c r="J403" s="31">
        <f t="shared" si="26"/>
        <v>91</v>
      </c>
      <c r="K403" s="28">
        <v>178000</v>
      </c>
      <c r="L403" s="29">
        <v>0.81</v>
      </c>
      <c r="M403" s="31">
        <f t="shared" si="27"/>
        <v>144180</v>
      </c>
      <c r="N403" s="28">
        <f t="shared" si="28"/>
        <v>33819.999999999993</v>
      </c>
    </row>
    <row r="404" spans="1:15" x14ac:dyDescent="0.35">
      <c r="A404">
        <v>740834017</v>
      </c>
      <c r="B404" t="s">
        <v>1837</v>
      </c>
      <c r="C404" t="s">
        <v>89</v>
      </c>
      <c r="D404" t="s">
        <v>122</v>
      </c>
      <c r="E404" s="30" t="s">
        <v>14</v>
      </c>
      <c r="F404" s="31">
        <v>0</v>
      </c>
      <c r="G404" s="31">
        <v>0</v>
      </c>
      <c r="H404" s="31">
        <v>0</v>
      </c>
      <c r="I404" s="31">
        <v>83</v>
      </c>
      <c r="J404" s="31">
        <f t="shared" si="26"/>
        <v>83</v>
      </c>
      <c r="K404" s="28">
        <v>178000</v>
      </c>
      <c r="L404" s="29">
        <v>0.81</v>
      </c>
      <c r="M404" s="31">
        <f t="shared" si="27"/>
        <v>144180</v>
      </c>
      <c r="N404" s="28">
        <f t="shared" si="28"/>
        <v>33819.999999999993</v>
      </c>
    </row>
    <row r="405" spans="1:15" x14ac:dyDescent="0.35">
      <c r="A405">
        <v>740834018</v>
      </c>
      <c r="B405" t="s">
        <v>1838</v>
      </c>
      <c r="C405" t="s">
        <v>89</v>
      </c>
      <c r="D405" t="s">
        <v>122</v>
      </c>
      <c r="E405" s="30" t="s">
        <v>14</v>
      </c>
      <c r="F405" s="31">
        <v>0</v>
      </c>
      <c r="G405" s="31">
        <v>0</v>
      </c>
      <c r="H405" s="31">
        <v>0</v>
      </c>
      <c r="I405" s="31">
        <v>62</v>
      </c>
      <c r="J405" s="31">
        <f t="shared" si="26"/>
        <v>62</v>
      </c>
      <c r="K405" s="28">
        <v>178000</v>
      </c>
      <c r="L405" s="29">
        <v>0.45</v>
      </c>
      <c r="M405" s="31">
        <f t="shared" si="27"/>
        <v>80100</v>
      </c>
      <c r="N405" s="28">
        <f t="shared" si="28"/>
        <v>97900.000000000015</v>
      </c>
    </row>
    <row r="406" spans="1:15" x14ac:dyDescent="0.35">
      <c r="A406">
        <v>740834019</v>
      </c>
      <c r="B406" t="s">
        <v>1839</v>
      </c>
      <c r="C406" t="s">
        <v>89</v>
      </c>
      <c r="D406" t="s">
        <v>122</v>
      </c>
      <c r="E406" s="30" t="s">
        <v>14</v>
      </c>
      <c r="F406" s="31">
        <v>0</v>
      </c>
      <c r="G406" s="31">
        <v>0</v>
      </c>
      <c r="H406" s="31">
        <v>0</v>
      </c>
      <c r="I406" s="31">
        <v>20</v>
      </c>
      <c r="J406" s="31">
        <f t="shared" si="26"/>
        <v>20</v>
      </c>
      <c r="K406" s="28">
        <v>178000</v>
      </c>
      <c r="L406" s="29">
        <v>0.45</v>
      </c>
      <c r="M406" s="31">
        <f t="shared" si="27"/>
        <v>80100</v>
      </c>
      <c r="N406" s="28">
        <f t="shared" si="28"/>
        <v>97900.000000000015</v>
      </c>
    </row>
    <row r="407" spans="1:15" x14ac:dyDescent="0.35">
      <c r="A407">
        <v>740834020</v>
      </c>
      <c r="B407" t="s">
        <v>1840</v>
      </c>
      <c r="C407" t="s">
        <v>89</v>
      </c>
      <c r="D407" t="s">
        <v>122</v>
      </c>
      <c r="E407" s="30" t="s">
        <v>14</v>
      </c>
      <c r="F407" s="31">
        <v>0</v>
      </c>
      <c r="G407" s="31">
        <v>0</v>
      </c>
      <c r="H407" s="31">
        <v>1</v>
      </c>
      <c r="I407" s="31">
        <v>6</v>
      </c>
      <c r="J407" s="31">
        <f t="shared" si="26"/>
        <v>7</v>
      </c>
      <c r="K407" s="28">
        <v>178000</v>
      </c>
      <c r="L407" s="29">
        <v>0.45</v>
      </c>
      <c r="M407" s="31">
        <f t="shared" si="27"/>
        <v>80100</v>
      </c>
      <c r="N407" s="28">
        <f t="shared" si="28"/>
        <v>97900.000000000015</v>
      </c>
    </row>
    <row r="408" spans="1:15" x14ac:dyDescent="0.35">
      <c r="A408">
        <v>200435001</v>
      </c>
      <c r="B408" t="s">
        <v>806</v>
      </c>
      <c r="C408" t="s">
        <v>368</v>
      </c>
      <c r="D408" t="s">
        <v>460</v>
      </c>
      <c r="E408" s="30" t="s">
        <v>14</v>
      </c>
      <c r="F408" s="31">
        <v>0</v>
      </c>
      <c r="G408" s="31">
        <v>0</v>
      </c>
      <c r="H408" s="31">
        <v>0</v>
      </c>
      <c r="I408" s="31">
        <v>2</v>
      </c>
      <c r="J408" s="31">
        <f t="shared" si="26"/>
        <v>2</v>
      </c>
      <c r="K408" s="28">
        <v>44000</v>
      </c>
      <c r="L408" s="29">
        <v>0.45</v>
      </c>
      <c r="M408" s="31">
        <f t="shared" si="27"/>
        <v>19800</v>
      </c>
      <c r="N408" s="28">
        <f t="shared" si="28"/>
        <v>24200.000000000004</v>
      </c>
      <c r="O408" s="28">
        <v>35200</v>
      </c>
    </row>
    <row r="409" spans="1:15" x14ac:dyDescent="0.35">
      <c r="A409">
        <v>200437001</v>
      </c>
      <c r="B409" t="s">
        <v>807</v>
      </c>
      <c r="C409" t="s">
        <v>368</v>
      </c>
      <c r="D409" t="s">
        <v>460</v>
      </c>
      <c r="E409" s="30" t="s">
        <v>14</v>
      </c>
      <c r="F409" s="31">
        <v>0</v>
      </c>
      <c r="G409" s="31">
        <v>0</v>
      </c>
      <c r="H409" s="31">
        <v>0</v>
      </c>
      <c r="I409" s="31">
        <v>1</v>
      </c>
      <c r="J409" s="31">
        <f t="shared" si="26"/>
        <v>1</v>
      </c>
      <c r="K409" s="28">
        <v>44000</v>
      </c>
      <c r="L409" s="29">
        <v>0.45</v>
      </c>
      <c r="M409" s="31">
        <f t="shared" si="27"/>
        <v>19800</v>
      </c>
      <c r="N409" s="28">
        <f t="shared" si="28"/>
        <v>24200.000000000004</v>
      </c>
      <c r="O409" s="28">
        <v>35200</v>
      </c>
    </row>
    <row r="410" spans="1:15" x14ac:dyDescent="0.35">
      <c r="A410">
        <v>201565001</v>
      </c>
      <c r="B410" t="s">
        <v>808</v>
      </c>
      <c r="C410" t="s">
        <v>368</v>
      </c>
      <c r="D410" t="s">
        <v>460</v>
      </c>
      <c r="E410" s="30" t="s">
        <v>14</v>
      </c>
      <c r="F410" s="31">
        <v>0</v>
      </c>
      <c r="G410" s="31">
        <v>0</v>
      </c>
      <c r="H410" s="31">
        <v>0</v>
      </c>
      <c r="I410" s="31">
        <v>4</v>
      </c>
      <c r="J410" s="31">
        <f t="shared" si="26"/>
        <v>4</v>
      </c>
      <c r="K410" s="28">
        <v>49000</v>
      </c>
      <c r="L410" s="29">
        <v>0.45</v>
      </c>
      <c r="M410" s="31">
        <f t="shared" si="27"/>
        <v>22050</v>
      </c>
      <c r="N410" s="28">
        <f t="shared" si="28"/>
        <v>26950.000000000004</v>
      </c>
      <c r="O410" s="28">
        <v>39200</v>
      </c>
    </row>
    <row r="411" spans="1:15" x14ac:dyDescent="0.35">
      <c r="A411">
        <v>716430001</v>
      </c>
      <c r="B411" t="s">
        <v>459</v>
      </c>
      <c r="C411" t="s">
        <v>449</v>
      </c>
      <c r="D411" t="s">
        <v>460</v>
      </c>
      <c r="E411" s="30" t="s">
        <v>14</v>
      </c>
      <c r="F411" s="31">
        <v>0</v>
      </c>
      <c r="G411" s="31">
        <v>0</v>
      </c>
      <c r="H411" s="31">
        <v>0</v>
      </c>
      <c r="I411" s="31">
        <v>17</v>
      </c>
      <c r="J411" s="31">
        <f t="shared" si="26"/>
        <v>17</v>
      </c>
      <c r="K411" s="28">
        <v>178000</v>
      </c>
      <c r="L411" s="29">
        <v>0.45</v>
      </c>
      <c r="M411" s="31">
        <f t="shared" si="27"/>
        <v>80100</v>
      </c>
      <c r="N411" s="28">
        <f t="shared" si="28"/>
        <v>97900.000000000015</v>
      </c>
      <c r="O411" s="28">
        <v>142400</v>
      </c>
    </row>
    <row r="412" spans="1:15" x14ac:dyDescent="0.35">
      <c r="A412">
        <v>716431001</v>
      </c>
      <c r="B412" t="s">
        <v>461</v>
      </c>
      <c r="C412" t="s">
        <v>449</v>
      </c>
      <c r="D412" t="s">
        <v>460</v>
      </c>
      <c r="E412" s="30" t="s">
        <v>14</v>
      </c>
      <c r="F412" s="31">
        <v>0</v>
      </c>
      <c r="G412" s="31">
        <v>0</v>
      </c>
      <c r="H412" s="31">
        <v>0</v>
      </c>
      <c r="I412" s="31">
        <v>7</v>
      </c>
      <c r="J412" s="31">
        <f t="shared" si="26"/>
        <v>7</v>
      </c>
      <c r="K412" s="28">
        <v>398000</v>
      </c>
      <c r="L412" s="29">
        <v>0.45</v>
      </c>
      <c r="M412" s="31">
        <f t="shared" si="27"/>
        <v>179100</v>
      </c>
      <c r="N412" s="28">
        <f t="shared" si="28"/>
        <v>218900.00000000003</v>
      </c>
      <c r="O412" s="28">
        <v>318400</v>
      </c>
    </row>
    <row r="413" spans="1:15" x14ac:dyDescent="0.35">
      <c r="A413">
        <v>723204001</v>
      </c>
      <c r="B413" t="s">
        <v>462</v>
      </c>
      <c r="C413" t="s">
        <v>449</v>
      </c>
      <c r="D413" t="s">
        <v>460</v>
      </c>
      <c r="E413" s="30" t="s">
        <v>14</v>
      </c>
      <c r="F413" s="31">
        <v>0</v>
      </c>
      <c r="G413" s="31">
        <v>0</v>
      </c>
      <c r="H413" s="31">
        <v>0</v>
      </c>
      <c r="I413" s="31">
        <v>5</v>
      </c>
      <c r="J413" s="31">
        <f t="shared" si="26"/>
        <v>5</v>
      </c>
      <c r="K413" s="28">
        <v>398000</v>
      </c>
      <c r="L413" s="29">
        <v>0.45</v>
      </c>
      <c r="M413" s="31">
        <f t="shared" si="27"/>
        <v>179100</v>
      </c>
      <c r="N413" s="28">
        <f t="shared" si="28"/>
        <v>218900.00000000003</v>
      </c>
      <c r="O413" s="28">
        <v>318400</v>
      </c>
    </row>
    <row r="414" spans="1:15" x14ac:dyDescent="0.35">
      <c r="A414">
        <v>723949001</v>
      </c>
      <c r="B414" t="s">
        <v>463</v>
      </c>
      <c r="C414" t="s">
        <v>449</v>
      </c>
      <c r="D414" t="s">
        <v>460</v>
      </c>
      <c r="E414" s="30" t="s">
        <v>14</v>
      </c>
      <c r="F414" s="31">
        <v>0</v>
      </c>
      <c r="G414" s="31">
        <v>0</v>
      </c>
      <c r="H414" s="31">
        <v>0</v>
      </c>
      <c r="I414" s="31">
        <v>12</v>
      </c>
      <c r="J414" s="31">
        <f t="shared" si="26"/>
        <v>12</v>
      </c>
      <c r="K414" s="28">
        <v>398000</v>
      </c>
      <c r="L414" s="29">
        <v>0.45</v>
      </c>
      <c r="M414" s="31">
        <f t="shared" si="27"/>
        <v>179100</v>
      </c>
      <c r="N414" s="28">
        <f t="shared" si="28"/>
        <v>218900.00000000003</v>
      </c>
      <c r="O414" s="28">
        <v>318400</v>
      </c>
    </row>
    <row r="415" spans="1:15" x14ac:dyDescent="0.35">
      <c r="A415">
        <v>734647</v>
      </c>
      <c r="B415" t="s">
        <v>812</v>
      </c>
      <c r="C415" t="s">
        <v>391</v>
      </c>
      <c r="D415" t="s">
        <v>146</v>
      </c>
      <c r="E415" s="30" t="s">
        <v>14</v>
      </c>
      <c r="F415" s="31">
        <v>0</v>
      </c>
      <c r="G415" s="31">
        <v>0</v>
      </c>
      <c r="H415" s="31">
        <v>0</v>
      </c>
      <c r="I415" s="31">
        <v>2</v>
      </c>
      <c r="J415" s="31">
        <f t="shared" si="26"/>
        <v>2</v>
      </c>
      <c r="K415" s="28">
        <v>298000</v>
      </c>
      <c r="L415" s="29">
        <v>0.81</v>
      </c>
      <c r="M415" s="31">
        <f t="shared" si="27"/>
        <v>241380.00000000003</v>
      </c>
      <c r="N415" s="28">
        <f t="shared" si="28"/>
        <v>56619.999999999985</v>
      </c>
      <c r="O415" s="28">
        <v>89400.000000000015</v>
      </c>
    </row>
    <row r="416" spans="1:15" x14ac:dyDescent="0.35">
      <c r="A416">
        <v>734649</v>
      </c>
      <c r="B416" t="s">
        <v>813</v>
      </c>
      <c r="C416" t="s">
        <v>391</v>
      </c>
      <c r="D416" t="s">
        <v>146</v>
      </c>
      <c r="E416" s="30" t="s">
        <v>14</v>
      </c>
      <c r="F416" s="31">
        <v>0</v>
      </c>
      <c r="G416" s="31">
        <v>0</v>
      </c>
      <c r="H416" s="31">
        <v>0</v>
      </c>
      <c r="I416" s="31">
        <v>1</v>
      </c>
      <c r="J416" s="31">
        <f t="shared" si="26"/>
        <v>1</v>
      </c>
      <c r="K416" s="28">
        <v>298000</v>
      </c>
      <c r="L416" s="29">
        <v>0.81</v>
      </c>
      <c r="M416" s="31">
        <f t="shared" si="27"/>
        <v>241380.00000000003</v>
      </c>
      <c r="N416" s="28">
        <f t="shared" si="28"/>
        <v>56619.999999999985</v>
      </c>
      <c r="O416" s="28">
        <v>89400.000000000015</v>
      </c>
    </row>
    <row r="417" spans="1:15" x14ac:dyDescent="0.35">
      <c r="A417">
        <v>734650</v>
      </c>
      <c r="B417" t="s">
        <v>814</v>
      </c>
      <c r="C417" t="s">
        <v>391</v>
      </c>
      <c r="D417" t="s">
        <v>146</v>
      </c>
      <c r="E417" s="30" t="s">
        <v>14</v>
      </c>
      <c r="F417" s="31">
        <v>0</v>
      </c>
      <c r="G417" s="31">
        <v>0</v>
      </c>
      <c r="H417" s="31">
        <v>0</v>
      </c>
      <c r="I417" s="31">
        <v>1</v>
      </c>
      <c r="J417" s="31">
        <f t="shared" si="26"/>
        <v>1</v>
      </c>
      <c r="K417" s="28">
        <v>298000</v>
      </c>
      <c r="L417" s="29">
        <v>0.81</v>
      </c>
      <c r="M417" s="31">
        <f t="shared" si="27"/>
        <v>241380.00000000003</v>
      </c>
      <c r="N417" s="28">
        <f t="shared" si="28"/>
        <v>56619.999999999985</v>
      </c>
      <c r="O417" s="28">
        <v>89400.000000000015</v>
      </c>
    </row>
    <row r="418" spans="1:15" x14ac:dyDescent="0.35">
      <c r="A418">
        <v>734651</v>
      </c>
      <c r="B418" t="s">
        <v>815</v>
      </c>
      <c r="C418" t="s">
        <v>391</v>
      </c>
      <c r="D418" t="s">
        <v>146</v>
      </c>
      <c r="E418" s="30" t="s">
        <v>14</v>
      </c>
      <c r="F418" s="31">
        <v>0</v>
      </c>
      <c r="G418" s="31">
        <v>0</v>
      </c>
      <c r="H418" s="31">
        <v>0</v>
      </c>
      <c r="I418" s="31">
        <v>1</v>
      </c>
      <c r="J418" s="31">
        <f t="shared" si="26"/>
        <v>1</v>
      </c>
      <c r="K418" s="28">
        <v>298000</v>
      </c>
      <c r="L418" s="29">
        <v>0.81</v>
      </c>
      <c r="M418" s="31">
        <f t="shared" si="27"/>
        <v>241380.00000000003</v>
      </c>
      <c r="N418" s="28">
        <f t="shared" si="28"/>
        <v>56619.999999999985</v>
      </c>
      <c r="O418" s="28">
        <v>89400.000000000015</v>
      </c>
    </row>
    <row r="419" spans="1:15" x14ac:dyDescent="0.35">
      <c r="A419">
        <v>200157</v>
      </c>
      <c r="B419" t="s">
        <v>464</v>
      </c>
      <c r="C419" t="s">
        <v>368</v>
      </c>
      <c r="D419" t="s">
        <v>146</v>
      </c>
      <c r="E419" s="30" t="s">
        <v>14</v>
      </c>
      <c r="F419" s="31">
        <v>0</v>
      </c>
      <c r="G419" s="31">
        <v>0</v>
      </c>
      <c r="H419" s="31">
        <v>0</v>
      </c>
      <c r="I419" s="31">
        <v>1</v>
      </c>
      <c r="J419" s="31">
        <f t="shared" si="26"/>
        <v>1</v>
      </c>
      <c r="K419" s="28">
        <v>89000</v>
      </c>
      <c r="L419" s="29">
        <v>0.81</v>
      </c>
      <c r="M419" s="31">
        <f t="shared" si="27"/>
        <v>72090</v>
      </c>
      <c r="N419" s="28">
        <f t="shared" si="28"/>
        <v>16909.999999999996</v>
      </c>
      <c r="O419" s="28">
        <v>69000</v>
      </c>
    </row>
    <row r="420" spans="1:15" x14ac:dyDescent="0.35">
      <c r="A420">
        <v>200839</v>
      </c>
      <c r="B420" t="s">
        <v>465</v>
      </c>
      <c r="C420" t="s">
        <v>368</v>
      </c>
      <c r="D420" t="s">
        <v>146</v>
      </c>
      <c r="E420" s="30" t="s">
        <v>14</v>
      </c>
      <c r="F420" s="31">
        <v>0</v>
      </c>
      <c r="G420" s="31">
        <v>0</v>
      </c>
      <c r="H420" s="31">
        <v>0</v>
      </c>
      <c r="I420" s="31">
        <v>1</v>
      </c>
      <c r="J420" s="31">
        <f t="shared" si="26"/>
        <v>1</v>
      </c>
      <c r="K420" s="28">
        <v>65000</v>
      </c>
      <c r="L420" s="29">
        <v>0.81</v>
      </c>
      <c r="M420" s="31">
        <f t="shared" si="27"/>
        <v>52650</v>
      </c>
      <c r="N420" s="28">
        <f t="shared" si="28"/>
        <v>12349.999999999996</v>
      </c>
      <c r="O420" s="28">
        <v>45000</v>
      </c>
    </row>
    <row r="421" spans="1:15" x14ac:dyDescent="0.35">
      <c r="A421">
        <v>200841</v>
      </c>
      <c r="B421" t="s">
        <v>466</v>
      </c>
      <c r="C421" t="s">
        <v>368</v>
      </c>
      <c r="D421" t="s">
        <v>146</v>
      </c>
      <c r="E421" s="30" t="s">
        <v>14</v>
      </c>
      <c r="F421" s="31">
        <v>0</v>
      </c>
      <c r="G421" s="31">
        <v>0</v>
      </c>
      <c r="H421" s="31">
        <v>0</v>
      </c>
      <c r="I421" s="31">
        <v>2</v>
      </c>
      <c r="J421" s="31">
        <f t="shared" si="26"/>
        <v>2</v>
      </c>
      <c r="K421" s="28">
        <v>95000</v>
      </c>
      <c r="L421" s="29">
        <v>0.81</v>
      </c>
      <c r="M421" s="31">
        <f t="shared" si="27"/>
        <v>76950</v>
      </c>
      <c r="N421" s="28">
        <f t="shared" si="28"/>
        <v>18049.999999999996</v>
      </c>
      <c r="O421" s="28">
        <v>75000</v>
      </c>
    </row>
    <row r="422" spans="1:15" x14ac:dyDescent="0.35">
      <c r="A422">
        <v>727042</v>
      </c>
      <c r="B422" t="s">
        <v>150</v>
      </c>
      <c r="C422" t="s">
        <v>97</v>
      </c>
      <c r="D422" t="s">
        <v>146</v>
      </c>
      <c r="E422" s="30" t="s">
        <v>14</v>
      </c>
      <c r="F422" s="31">
        <v>0</v>
      </c>
      <c r="G422" s="31">
        <v>0</v>
      </c>
      <c r="H422" s="31">
        <v>0</v>
      </c>
      <c r="I422" s="31">
        <v>1</v>
      </c>
      <c r="J422" s="31">
        <f t="shared" si="26"/>
        <v>1</v>
      </c>
      <c r="K422" s="28">
        <v>1798000</v>
      </c>
      <c r="L422" s="29">
        <v>0.45</v>
      </c>
      <c r="M422" s="31">
        <f t="shared" si="27"/>
        <v>809100</v>
      </c>
      <c r="N422" s="28">
        <f t="shared" si="28"/>
        <v>988900.00000000012</v>
      </c>
      <c r="O422" s="28">
        <v>1438400</v>
      </c>
    </row>
    <row r="423" spans="1:15" x14ac:dyDescent="0.35">
      <c r="A423">
        <v>727051</v>
      </c>
      <c r="B423" t="s">
        <v>151</v>
      </c>
      <c r="C423" t="s">
        <v>97</v>
      </c>
      <c r="D423" t="s">
        <v>146</v>
      </c>
      <c r="E423" s="30" t="s">
        <v>14</v>
      </c>
      <c r="F423" s="31">
        <v>0</v>
      </c>
      <c r="G423" s="31">
        <v>0</v>
      </c>
      <c r="H423" s="31">
        <v>0</v>
      </c>
      <c r="I423" s="31">
        <v>6</v>
      </c>
      <c r="J423" s="31">
        <f t="shared" si="26"/>
        <v>6</v>
      </c>
      <c r="K423" s="28">
        <v>1798000</v>
      </c>
      <c r="L423" s="29">
        <v>0.45</v>
      </c>
      <c r="M423" s="31">
        <f t="shared" si="27"/>
        <v>809100</v>
      </c>
      <c r="N423" s="28">
        <f t="shared" si="28"/>
        <v>988900.00000000012</v>
      </c>
      <c r="O423" s="28">
        <v>1438400</v>
      </c>
    </row>
    <row r="424" spans="1:15" x14ac:dyDescent="0.35">
      <c r="A424">
        <v>727053</v>
      </c>
      <c r="B424" t="s">
        <v>152</v>
      </c>
      <c r="C424" t="s">
        <v>97</v>
      </c>
      <c r="D424" t="s">
        <v>146</v>
      </c>
      <c r="E424" s="30" t="s">
        <v>14</v>
      </c>
      <c r="F424" s="31">
        <v>0</v>
      </c>
      <c r="G424" s="31">
        <v>0</v>
      </c>
      <c r="H424" s="31">
        <v>0</v>
      </c>
      <c r="I424" s="31">
        <v>1</v>
      </c>
      <c r="J424" s="31">
        <f t="shared" si="26"/>
        <v>1</v>
      </c>
      <c r="K424" s="28">
        <v>1798000</v>
      </c>
      <c r="L424" s="29">
        <v>0.45</v>
      </c>
      <c r="M424" s="31">
        <f t="shared" si="27"/>
        <v>809100</v>
      </c>
      <c r="N424" s="28">
        <f t="shared" si="28"/>
        <v>988900.00000000012</v>
      </c>
      <c r="O424" s="28">
        <v>1438400</v>
      </c>
    </row>
    <row r="425" spans="1:15" x14ac:dyDescent="0.35">
      <c r="A425">
        <v>727062</v>
      </c>
      <c r="B425" t="s">
        <v>154</v>
      </c>
      <c r="C425" t="s">
        <v>97</v>
      </c>
      <c r="D425" t="s">
        <v>146</v>
      </c>
      <c r="E425" s="30" t="s">
        <v>14</v>
      </c>
      <c r="F425" s="31">
        <v>0</v>
      </c>
      <c r="G425" s="31">
        <v>0</v>
      </c>
      <c r="H425" s="31">
        <v>0</v>
      </c>
      <c r="I425" s="31">
        <v>1</v>
      </c>
      <c r="J425" s="31">
        <f t="shared" si="26"/>
        <v>1</v>
      </c>
      <c r="K425" s="28">
        <v>1798000</v>
      </c>
      <c r="L425" s="29">
        <v>0.45</v>
      </c>
      <c r="M425" s="31">
        <f t="shared" si="27"/>
        <v>809100</v>
      </c>
      <c r="N425" s="28">
        <f t="shared" si="28"/>
        <v>988900.00000000012</v>
      </c>
      <c r="O425" s="28">
        <v>1438400</v>
      </c>
    </row>
    <row r="426" spans="1:15" x14ac:dyDescent="0.35">
      <c r="A426">
        <v>731736</v>
      </c>
      <c r="B426" t="s">
        <v>818</v>
      </c>
      <c r="C426" t="s">
        <v>97</v>
      </c>
      <c r="D426" t="s">
        <v>146</v>
      </c>
      <c r="E426" s="30">
        <v>0</v>
      </c>
      <c r="F426" s="31">
        <v>0</v>
      </c>
      <c r="G426" s="31">
        <v>0</v>
      </c>
      <c r="H426" s="31">
        <v>5</v>
      </c>
      <c r="I426" s="31">
        <v>18</v>
      </c>
      <c r="J426" s="31">
        <f t="shared" si="26"/>
        <v>23</v>
      </c>
      <c r="K426" s="28">
        <v>4698000</v>
      </c>
      <c r="L426" s="29">
        <v>0.45</v>
      </c>
      <c r="M426" s="31">
        <f t="shared" si="27"/>
        <v>2114100</v>
      </c>
      <c r="N426" s="28">
        <f t="shared" si="28"/>
        <v>2583900</v>
      </c>
      <c r="O426" s="28">
        <v>3758400</v>
      </c>
    </row>
    <row r="427" spans="1:15" x14ac:dyDescent="0.35">
      <c r="A427">
        <v>731737</v>
      </c>
      <c r="B427" t="s">
        <v>155</v>
      </c>
      <c r="C427" t="s">
        <v>97</v>
      </c>
      <c r="D427" t="s">
        <v>146</v>
      </c>
      <c r="E427" s="30" t="s">
        <v>14</v>
      </c>
      <c r="F427" s="31">
        <v>0</v>
      </c>
      <c r="G427" s="31">
        <v>0</v>
      </c>
      <c r="H427" s="31">
        <v>0</v>
      </c>
      <c r="I427" s="31">
        <v>10</v>
      </c>
      <c r="J427" s="31">
        <f t="shared" si="26"/>
        <v>10</v>
      </c>
      <c r="K427" s="28">
        <v>4698000</v>
      </c>
      <c r="L427" s="29">
        <v>0.45</v>
      </c>
      <c r="M427" s="31">
        <f t="shared" si="27"/>
        <v>2114100</v>
      </c>
      <c r="N427" s="28">
        <f t="shared" si="28"/>
        <v>2583900</v>
      </c>
      <c r="O427" s="28">
        <v>3758400</v>
      </c>
    </row>
    <row r="428" spans="1:15" x14ac:dyDescent="0.35">
      <c r="A428">
        <v>733514</v>
      </c>
      <c r="B428" t="s">
        <v>156</v>
      </c>
      <c r="C428" t="s">
        <v>97</v>
      </c>
      <c r="D428" t="s">
        <v>146</v>
      </c>
      <c r="E428" s="30" t="s">
        <v>14</v>
      </c>
      <c r="F428" s="31">
        <v>0</v>
      </c>
      <c r="G428" s="31">
        <v>0</v>
      </c>
      <c r="H428" s="31">
        <v>0</v>
      </c>
      <c r="I428" s="31">
        <v>1</v>
      </c>
      <c r="J428" s="31">
        <f t="shared" si="26"/>
        <v>1</v>
      </c>
      <c r="K428" s="28">
        <v>4698000</v>
      </c>
      <c r="L428" s="29">
        <v>0.45</v>
      </c>
      <c r="M428" s="31">
        <f t="shared" si="27"/>
        <v>2114100</v>
      </c>
      <c r="N428" s="28">
        <f t="shared" si="28"/>
        <v>2583900</v>
      </c>
      <c r="O428" s="28">
        <v>3758400</v>
      </c>
    </row>
    <row r="429" spans="1:15" x14ac:dyDescent="0.35">
      <c r="A429">
        <v>734391</v>
      </c>
      <c r="B429" t="s">
        <v>145</v>
      </c>
      <c r="C429" t="s">
        <v>97</v>
      </c>
      <c r="D429" t="s">
        <v>146</v>
      </c>
      <c r="E429" s="30" t="s">
        <v>14</v>
      </c>
      <c r="F429" s="31">
        <v>0</v>
      </c>
      <c r="G429" s="31">
        <v>0</v>
      </c>
      <c r="H429" s="31">
        <v>0</v>
      </c>
      <c r="I429" s="31">
        <v>1</v>
      </c>
      <c r="J429" s="31">
        <f t="shared" si="26"/>
        <v>1</v>
      </c>
      <c r="K429" s="28">
        <v>1148000</v>
      </c>
      <c r="L429" s="29">
        <v>0.45</v>
      </c>
      <c r="M429" s="31">
        <f t="shared" si="27"/>
        <v>516600</v>
      </c>
      <c r="N429" s="28">
        <f t="shared" si="28"/>
        <v>631400</v>
      </c>
      <c r="O429" s="28">
        <v>918400</v>
      </c>
    </row>
    <row r="430" spans="1:15" x14ac:dyDescent="0.35">
      <c r="A430">
        <v>734396</v>
      </c>
      <c r="B430" t="s">
        <v>149</v>
      </c>
      <c r="C430" t="s">
        <v>97</v>
      </c>
      <c r="D430" t="s">
        <v>146</v>
      </c>
      <c r="E430" s="30" t="s">
        <v>14</v>
      </c>
      <c r="F430" s="31">
        <v>0</v>
      </c>
      <c r="G430" s="31">
        <v>0</v>
      </c>
      <c r="H430" s="31">
        <v>0</v>
      </c>
      <c r="I430" s="31">
        <v>3</v>
      </c>
      <c r="J430" s="31">
        <f t="shared" si="26"/>
        <v>3</v>
      </c>
      <c r="K430" s="28">
        <v>848000</v>
      </c>
      <c r="L430" s="29">
        <v>0.45</v>
      </c>
      <c r="M430" s="31">
        <f t="shared" si="27"/>
        <v>381600</v>
      </c>
      <c r="N430" s="28">
        <f t="shared" si="28"/>
        <v>466400.00000000006</v>
      </c>
      <c r="O430" s="28">
        <v>678400</v>
      </c>
    </row>
    <row r="431" spans="1:15" x14ac:dyDescent="0.35">
      <c r="A431">
        <v>737341</v>
      </c>
      <c r="B431" t="s">
        <v>153</v>
      </c>
      <c r="C431" t="s">
        <v>97</v>
      </c>
      <c r="D431" t="s">
        <v>146</v>
      </c>
      <c r="E431" s="30">
        <v>0</v>
      </c>
      <c r="F431" s="31">
        <v>0</v>
      </c>
      <c r="G431" s="31">
        <v>0</v>
      </c>
      <c r="H431" s="31">
        <v>0</v>
      </c>
      <c r="I431" s="31">
        <v>3</v>
      </c>
      <c r="J431" s="31">
        <f t="shared" si="26"/>
        <v>3</v>
      </c>
      <c r="K431" s="28">
        <v>1798000</v>
      </c>
      <c r="L431" s="29">
        <v>0.45</v>
      </c>
      <c r="M431" s="31">
        <f t="shared" si="27"/>
        <v>809100</v>
      </c>
      <c r="N431" s="28">
        <f t="shared" si="28"/>
        <v>988900.00000000012</v>
      </c>
    </row>
    <row r="432" spans="1:15" x14ac:dyDescent="0.35">
      <c r="A432">
        <v>737342</v>
      </c>
      <c r="B432" t="s">
        <v>1841</v>
      </c>
      <c r="C432" t="s">
        <v>97</v>
      </c>
      <c r="D432" t="s">
        <v>146</v>
      </c>
      <c r="E432" s="30">
        <v>0</v>
      </c>
      <c r="F432" s="31">
        <v>0</v>
      </c>
      <c r="G432" s="31">
        <v>0</v>
      </c>
      <c r="H432" s="31">
        <v>0</v>
      </c>
      <c r="I432" s="31">
        <v>8</v>
      </c>
      <c r="J432" s="31">
        <f t="shared" si="26"/>
        <v>8</v>
      </c>
      <c r="K432" s="28">
        <v>1798000</v>
      </c>
      <c r="L432" s="29">
        <v>0.45</v>
      </c>
      <c r="M432" s="31">
        <f t="shared" si="27"/>
        <v>809100</v>
      </c>
      <c r="N432" s="28">
        <f t="shared" si="28"/>
        <v>988900.00000000012</v>
      </c>
    </row>
    <row r="433" spans="1:15" x14ac:dyDescent="0.35">
      <c r="A433">
        <v>737343</v>
      </c>
      <c r="B433" t="s">
        <v>1842</v>
      </c>
      <c r="C433" t="s">
        <v>97</v>
      </c>
      <c r="D433" t="s">
        <v>146</v>
      </c>
      <c r="E433" s="30">
        <v>0</v>
      </c>
      <c r="F433" s="31">
        <v>0</v>
      </c>
      <c r="G433" s="31">
        <v>0</v>
      </c>
      <c r="H433" s="31">
        <v>0</v>
      </c>
      <c r="I433" s="31">
        <v>3</v>
      </c>
      <c r="J433" s="31">
        <f t="shared" si="26"/>
        <v>3</v>
      </c>
      <c r="K433" s="28">
        <v>1798000</v>
      </c>
      <c r="L433" s="29">
        <v>0.45</v>
      </c>
      <c r="M433" s="31">
        <f t="shared" si="27"/>
        <v>809100</v>
      </c>
      <c r="N433" s="28">
        <f t="shared" si="28"/>
        <v>988900.00000000012</v>
      </c>
    </row>
    <row r="434" spans="1:15" x14ac:dyDescent="0.35">
      <c r="A434">
        <v>723201</v>
      </c>
      <c r="B434" t="s">
        <v>467</v>
      </c>
      <c r="C434" t="s">
        <v>449</v>
      </c>
      <c r="D434" t="s">
        <v>146</v>
      </c>
      <c r="E434" s="30" t="s">
        <v>14</v>
      </c>
      <c r="F434" s="31">
        <v>0</v>
      </c>
      <c r="G434" s="31">
        <v>0</v>
      </c>
      <c r="H434" s="31">
        <v>0</v>
      </c>
      <c r="I434" s="31">
        <v>1</v>
      </c>
      <c r="J434" s="31">
        <f t="shared" si="26"/>
        <v>1</v>
      </c>
      <c r="K434" s="28">
        <v>598000</v>
      </c>
      <c r="L434" s="29">
        <v>0.45</v>
      </c>
      <c r="M434" s="31">
        <f t="shared" si="27"/>
        <v>269100</v>
      </c>
      <c r="N434" s="28">
        <f t="shared" si="28"/>
        <v>328900</v>
      </c>
    </row>
    <row r="435" spans="1:15" x14ac:dyDescent="0.35">
      <c r="A435">
        <v>723946</v>
      </c>
      <c r="B435" t="s">
        <v>468</v>
      </c>
      <c r="C435" t="s">
        <v>449</v>
      </c>
      <c r="D435" t="s">
        <v>146</v>
      </c>
      <c r="E435" s="30" t="s">
        <v>14</v>
      </c>
      <c r="F435" s="31">
        <v>0</v>
      </c>
      <c r="G435" s="31">
        <v>0</v>
      </c>
      <c r="H435" s="31">
        <v>0</v>
      </c>
      <c r="I435" s="31">
        <v>1</v>
      </c>
      <c r="J435" s="31">
        <f t="shared" si="26"/>
        <v>1</v>
      </c>
      <c r="K435" s="28">
        <v>2148000</v>
      </c>
      <c r="L435" s="29">
        <v>0.45</v>
      </c>
      <c r="M435" s="31">
        <f t="shared" si="27"/>
        <v>966600</v>
      </c>
      <c r="N435" s="28">
        <f t="shared" si="28"/>
        <v>1181400</v>
      </c>
      <c r="O435" s="28">
        <v>1718400</v>
      </c>
    </row>
    <row r="436" spans="1:15" x14ac:dyDescent="0.35">
      <c r="A436">
        <v>724311</v>
      </c>
      <c r="B436" t="s">
        <v>469</v>
      </c>
      <c r="C436" t="s">
        <v>449</v>
      </c>
      <c r="D436" t="s">
        <v>146</v>
      </c>
      <c r="E436" s="30" t="s">
        <v>14</v>
      </c>
      <c r="F436" s="31">
        <v>0</v>
      </c>
      <c r="G436" s="31">
        <v>0</v>
      </c>
      <c r="H436" s="31">
        <v>0</v>
      </c>
      <c r="I436" s="31">
        <v>1</v>
      </c>
      <c r="J436" s="31">
        <f t="shared" si="26"/>
        <v>1</v>
      </c>
      <c r="K436" s="28">
        <v>2148000</v>
      </c>
      <c r="L436" s="29">
        <v>0.45</v>
      </c>
      <c r="M436" s="31">
        <f t="shared" si="27"/>
        <v>966600</v>
      </c>
      <c r="N436" s="28">
        <f t="shared" si="28"/>
        <v>1181400</v>
      </c>
      <c r="O436" s="28">
        <v>1718400</v>
      </c>
    </row>
    <row r="437" spans="1:15" x14ac:dyDescent="0.35">
      <c r="A437">
        <v>730765</v>
      </c>
      <c r="B437" t="s">
        <v>1843</v>
      </c>
      <c r="C437" t="s">
        <v>449</v>
      </c>
      <c r="D437" t="s">
        <v>146</v>
      </c>
      <c r="E437" s="30">
        <v>0</v>
      </c>
      <c r="F437" s="31">
        <v>0</v>
      </c>
      <c r="G437" s="31">
        <v>0</v>
      </c>
      <c r="H437" s="31">
        <v>0</v>
      </c>
      <c r="I437" s="31">
        <v>20</v>
      </c>
      <c r="J437" s="31">
        <f t="shared" si="26"/>
        <v>20</v>
      </c>
      <c r="K437" s="28">
        <v>698000</v>
      </c>
      <c r="L437" s="29">
        <v>0.17</v>
      </c>
      <c r="M437" s="31">
        <f t="shared" si="27"/>
        <v>118660.00000000001</v>
      </c>
      <c r="N437" s="28">
        <f t="shared" si="28"/>
        <v>579340</v>
      </c>
    </row>
    <row r="438" spans="1:15" x14ac:dyDescent="0.35">
      <c r="A438">
        <v>730766</v>
      </c>
      <c r="B438" t="s">
        <v>1844</v>
      </c>
      <c r="C438" t="s">
        <v>449</v>
      </c>
      <c r="D438" t="s">
        <v>146</v>
      </c>
      <c r="E438" s="30" t="s">
        <v>14</v>
      </c>
      <c r="F438" s="31">
        <v>0</v>
      </c>
      <c r="G438" s="31">
        <v>0</v>
      </c>
      <c r="H438" s="31">
        <v>0</v>
      </c>
      <c r="I438" s="31">
        <v>4</v>
      </c>
      <c r="J438" s="31">
        <f t="shared" si="26"/>
        <v>4</v>
      </c>
      <c r="K438" s="28">
        <v>598000</v>
      </c>
      <c r="L438" s="29">
        <v>0.17</v>
      </c>
      <c r="M438" s="31">
        <f t="shared" si="27"/>
        <v>101660.00000000001</v>
      </c>
      <c r="N438" s="28">
        <f t="shared" si="28"/>
        <v>496340</v>
      </c>
    </row>
    <row r="439" spans="1:15" x14ac:dyDescent="0.35">
      <c r="A439">
        <v>730767</v>
      </c>
      <c r="B439" t="s">
        <v>1845</v>
      </c>
      <c r="C439" t="s">
        <v>449</v>
      </c>
      <c r="D439" t="s">
        <v>146</v>
      </c>
      <c r="E439" s="30" t="s">
        <v>14</v>
      </c>
      <c r="F439" s="31">
        <v>0</v>
      </c>
      <c r="G439" s="31">
        <v>0</v>
      </c>
      <c r="H439" s="31">
        <v>0</v>
      </c>
      <c r="I439" s="31">
        <v>1</v>
      </c>
      <c r="J439" s="31">
        <f t="shared" si="26"/>
        <v>1</v>
      </c>
      <c r="K439" s="28">
        <v>598000</v>
      </c>
      <c r="L439" s="29">
        <v>0.17</v>
      </c>
      <c r="M439" s="31">
        <f t="shared" si="27"/>
        <v>101660.00000000001</v>
      </c>
      <c r="N439" s="28">
        <f t="shared" si="28"/>
        <v>496340</v>
      </c>
    </row>
    <row r="440" spans="1:15" x14ac:dyDescent="0.35">
      <c r="A440">
        <v>730768</v>
      </c>
      <c r="B440" t="s">
        <v>1846</v>
      </c>
      <c r="C440" t="s">
        <v>449</v>
      </c>
      <c r="D440" t="s">
        <v>146</v>
      </c>
      <c r="E440" s="30">
        <v>0</v>
      </c>
      <c r="F440" s="31">
        <v>0</v>
      </c>
      <c r="G440" s="31">
        <v>0</v>
      </c>
      <c r="H440" s="31">
        <v>4</v>
      </c>
      <c r="I440" s="31">
        <v>23</v>
      </c>
      <c r="J440" s="31">
        <f t="shared" si="26"/>
        <v>27</v>
      </c>
      <c r="K440" s="28">
        <v>698000</v>
      </c>
      <c r="L440" s="29">
        <v>0.17</v>
      </c>
      <c r="M440" s="31">
        <f t="shared" si="27"/>
        <v>118660.00000000001</v>
      </c>
      <c r="N440" s="28">
        <f t="shared" si="28"/>
        <v>579340</v>
      </c>
    </row>
    <row r="441" spans="1:15" x14ac:dyDescent="0.35">
      <c r="A441">
        <v>730769</v>
      </c>
      <c r="B441" t="s">
        <v>1847</v>
      </c>
      <c r="C441" t="s">
        <v>449</v>
      </c>
      <c r="D441" t="s">
        <v>146</v>
      </c>
      <c r="E441" s="30">
        <v>0</v>
      </c>
      <c r="F441" s="31">
        <v>0</v>
      </c>
      <c r="G441" s="31">
        <v>0</v>
      </c>
      <c r="H441" s="31">
        <v>0</v>
      </c>
      <c r="I441" s="31">
        <v>14</v>
      </c>
      <c r="J441" s="31">
        <f t="shared" si="26"/>
        <v>14</v>
      </c>
      <c r="K441" s="28">
        <v>698000</v>
      </c>
      <c r="L441" s="29">
        <v>0.17</v>
      </c>
      <c r="M441" s="31">
        <f t="shared" si="27"/>
        <v>118660.00000000001</v>
      </c>
      <c r="N441" s="28">
        <f t="shared" si="28"/>
        <v>579340</v>
      </c>
    </row>
    <row r="442" spans="1:15" x14ac:dyDescent="0.35">
      <c r="A442">
        <v>733113</v>
      </c>
      <c r="B442" t="s">
        <v>1848</v>
      </c>
      <c r="C442" t="s">
        <v>449</v>
      </c>
      <c r="D442" t="s">
        <v>146</v>
      </c>
      <c r="E442" s="30" t="s">
        <v>14</v>
      </c>
      <c r="F442" s="31">
        <v>0</v>
      </c>
      <c r="G442" s="31">
        <v>0</v>
      </c>
      <c r="H442" s="31">
        <v>0</v>
      </c>
      <c r="I442" s="31">
        <v>2</v>
      </c>
      <c r="J442" s="31">
        <f t="shared" si="26"/>
        <v>2</v>
      </c>
      <c r="K442" s="28">
        <v>648000</v>
      </c>
      <c r="L442" s="29">
        <v>0.45</v>
      </c>
      <c r="M442" s="31">
        <f t="shared" si="27"/>
        <v>291600</v>
      </c>
      <c r="N442" s="28">
        <f t="shared" si="28"/>
        <v>356400</v>
      </c>
    </row>
    <row r="443" spans="1:15" x14ac:dyDescent="0.35">
      <c r="A443">
        <v>733116</v>
      </c>
      <c r="B443" t="s">
        <v>1849</v>
      </c>
      <c r="C443" t="s">
        <v>449</v>
      </c>
      <c r="D443" t="s">
        <v>146</v>
      </c>
      <c r="E443" s="30" t="s">
        <v>14</v>
      </c>
      <c r="F443" s="31">
        <v>0</v>
      </c>
      <c r="G443" s="31">
        <v>0</v>
      </c>
      <c r="H443" s="31">
        <v>2</v>
      </c>
      <c r="I443" s="31">
        <v>7</v>
      </c>
      <c r="J443" s="31">
        <f t="shared" si="26"/>
        <v>9</v>
      </c>
      <c r="K443" s="28">
        <v>878000</v>
      </c>
      <c r="L443" s="29">
        <v>0.45</v>
      </c>
      <c r="M443" s="31">
        <f t="shared" si="27"/>
        <v>395100</v>
      </c>
      <c r="N443" s="28">
        <f t="shared" si="28"/>
        <v>482900.00000000006</v>
      </c>
    </row>
    <row r="444" spans="1:15" x14ac:dyDescent="0.35">
      <c r="A444">
        <v>733117</v>
      </c>
      <c r="B444" t="s">
        <v>1850</v>
      </c>
      <c r="C444" t="s">
        <v>449</v>
      </c>
      <c r="D444" t="s">
        <v>146</v>
      </c>
      <c r="E444" s="30" t="s">
        <v>14</v>
      </c>
      <c r="F444" s="31">
        <v>0</v>
      </c>
      <c r="G444" s="31">
        <v>0</v>
      </c>
      <c r="H444" s="31">
        <v>0</v>
      </c>
      <c r="I444" s="31">
        <v>3</v>
      </c>
      <c r="J444" s="31">
        <f t="shared" si="26"/>
        <v>3</v>
      </c>
      <c r="K444" s="28">
        <v>648000</v>
      </c>
      <c r="L444" s="29">
        <v>0.45</v>
      </c>
      <c r="M444" s="31">
        <f t="shared" si="27"/>
        <v>291600</v>
      </c>
      <c r="N444" s="28">
        <f t="shared" si="28"/>
        <v>356400</v>
      </c>
    </row>
    <row r="445" spans="1:15" x14ac:dyDescent="0.35">
      <c r="A445">
        <v>730175</v>
      </c>
      <c r="B445" t="s">
        <v>819</v>
      </c>
      <c r="C445" t="s">
        <v>820</v>
      </c>
      <c r="D445" t="s">
        <v>146</v>
      </c>
      <c r="E445" s="30" t="s">
        <v>14</v>
      </c>
      <c r="F445" s="31">
        <v>0</v>
      </c>
      <c r="G445" s="31">
        <v>0</v>
      </c>
      <c r="H445" s="31">
        <v>2</v>
      </c>
      <c r="I445" s="31">
        <v>9</v>
      </c>
      <c r="J445" s="31">
        <f t="shared" si="26"/>
        <v>11</v>
      </c>
      <c r="K445" s="28">
        <v>998000</v>
      </c>
      <c r="L445" s="29">
        <v>0.81</v>
      </c>
      <c r="M445" s="31">
        <f t="shared" si="27"/>
        <v>808380</v>
      </c>
      <c r="N445" s="28">
        <f t="shared" si="28"/>
        <v>189619.99999999994</v>
      </c>
      <c r="O445" s="28">
        <v>499000</v>
      </c>
    </row>
    <row r="446" spans="1:15" x14ac:dyDescent="0.35">
      <c r="A446">
        <v>730178</v>
      </c>
      <c r="B446" t="s">
        <v>821</v>
      </c>
      <c r="C446" t="s">
        <v>820</v>
      </c>
      <c r="D446" t="s">
        <v>146</v>
      </c>
      <c r="E446" s="30" t="s">
        <v>14</v>
      </c>
      <c r="F446" s="31">
        <v>0</v>
      </c>
      <c r="G446" s="31">
        <v>0</v>
      </c>
      <c r="H446" s="31">
        <v>0</v>
      </c>
      <c r="I446" s="31">
        <v>12</v>
      </c>
      <c r="J446" s="31">
        <f t="shared" si="26"/>
        <v>12</v>
      </c>
      <c r="K446" s="28">
        <v>998000</v>
      </c>
      <c r="L446" s="29">
        <v>0.81</v>
      </c>
      <c r="M446" s="31">
        <f t="shared" si="27"/>
        <v>808380</v>
      </c>
      <c r="N446" s="28">
        <f t="shared" si="28"/>
        <v>189619.99999999994</v>
      </c>
      <c r="O446" s="28">
        <v>499000</v>
      </c>
    </row>
    <row r="447" spans="1:15" x14ac:dyDescent="0.35">
      <c r="A447">
        <v>734808</v>
      </c>
      <c r="B447" t="s">
        <v>822</v>
      </c>
      <c r="C447" t="s">
        <v>820</v>
      </c>
      <c r="D447" t="s">
        <v>146</v>
      </c>
      <c r="E447" s="30" t="s">
        <v>14</v>
      </c>
      <c r="F447" s="31">
        <v>0</v>
      </c>
      <c r="G447" s="31">
        <v>0</v>
      </c>
      <c r="H447" s="31">
        <v>1</v>
      </c>
      <c r="I447" s="31">
        <v>8</v>
      </c>
      <c r="J447" s="31">
        <f t="shared" si="26"/>
        <v>9</v>
      </c>
      <c r="K447" s="28">
        <v>998000</v>
      </c>
      <c r="L447" s="29">
        <v>0.81</v>
      </c>
      <c r="M447" s="31">
        <f t="shared" si="27"/>
        <v>808380</v>
      </c>
      <c r="N447" s="28">
        <f t="shared" si="28"/>
        <v>189619.99999999994</v>
      </c>
      <c r="O447" s="28">
        <v>499000</v>
      </c>
    </row>
    <row r="448" spans="1:15" x14ac:dyDescent="0.35">
      <c r="A448">
        <v>734809</v>
      </c>
      <c r="B448" t="s">
        <v>823</v>
      </c>
      <c r="C448" t="s">
        <v>820</v>
      </c>
      <c r="D448" t="s">
        <v>146</v>
      </c>
      <c r="E448" s="30" t="s">
        <v>14</v>
      </c>
      <c r="F448" s="31">
        <v>0</v>
      </c>
      <c r="G448" s="31">
        <v>0</v>
      </c>
      <c r="H448" s="31">
        <v>0</v>
      </c>
      <c r="I448" s="31">
        <v>1</v>
      </c>
      <c r="J448" s="31">
        <f t="shared" si="26"/>
        <v>1</v>
      </c>
      <c r="K448" s="28">
        <v>998000</v>
      </c>
      <c r="L448" s="29">
        <v>0.81</v>
      </c>
      <c r="M448" s="31">
        <f t="shared" si="27"/>
        <v>808380</v>
      </c>
      <c r="N448" s="28">
        <f t="shared" si="28"/>
        <v>189619.99999999994</v>
      </c>
      <c r="O448" s="28">
        <v>499000</v>
      </c>
    </row>
    <row r="449" spans="1:15" x14ac:dyDescent="0.35">
      <c r="A449">
        <v>734813</v>
      </c>
      <c r="B449" t="s">
        <v>824</v>
      </c>
      <c r="C449" t="s">
        <v>820</v>
      </c>
      <c r="D449" t="s">
        <v>146</v>
      </c>
      <c r="E449" s="30" t="s">
        <v>14</v>
      </c>
      <c r="F449" s="31">
        <v>0</v>
      </c>
      <c r="G449" s="31">
        <v>0</v>
      </c>
      <c r="H449" s="31">
        <v>0</v>
      </c>
      <c r="I449" s="31">
        <v>1</v>
      </c>
      <c r="J449" s="31">
        <f t="shared" si="26"/>
        <v>1</v>
      </c>
      <c r="K449" s="28">
        <v>998000</v>
      </c>
      <c r="L449" s="29">
        <v>0.81</v>
      </c>
      <c r="M449" s="31">
        <f t="shared" si="27"/>
        <v>808380</v>
      </c>
      <c r="N449" s="28">
        <f t="shared" si="28"/>
        <v>189619.99999999994</v>
      </c>
      <c r="O449" s="28">
        <v>499000</v>
      </c>
    </row>
    <row r="450" spans="1:15" x14ac:dyDescent="0.35">
      <c r="A450">
        <v>734817</v>
      </c>
      <c r="B450" t="s">
        <v>825</v>
      </c>
      <c r="C450" t="s">
        <v>820</v>
      </c>
      <c r="D450" t="s">
        <v>146</v>
      </c>
      <c r="E450" s="30" t="s">
        <v>14</v>
      </c>
      <c r="F450" s="31">
        <v>0</v>
      </c>
      <c r="G450" s="31">
        <v>0</v>
      </c>
      <c r="H450" s="31">
        <v>3</v>
      </c>
      <c r="I450" s="31">
        <v>16</v>
      </c>
      <c r="J450" s="31">
        <f t="shared" si="26"/>
        <v>19</v>
      </c>
      <c r="K450" s="28">
        <v>998000</v>
      </c>
      <c r="L450" s="29">
        <v>0.81</v>
      </c>
      <c r="M450" s="31">
        <f t="shared" si="27"/>
        <v>808380</v>
      </c>
      <c r="N450" s="28">
        <f t="shared" si="28"/>
        <v>189619.99999999994</v>
      </c>
      <c r="O450" s="28">
        <v>499000</v>
      </c>
    </row>
    <row r="451" spans="1:15" x14ac:dyDescent="0.35">
      <c r="A451">
        <v>734824</v>
      </c>
      <c r="B451" t="s">
        <v>826</v>
      </c>
      <c r="C451" t="s">
        <v>820</v>
      </c>
      <c r="D451" t="s">
        <v>146</v>
      </c>
      <c r="E451" s="30" t="s">
        <v>14</v>
      </c>
      <c r="F451" s="31">
        <v>0</v>
      </c>
      <c r="G451" s="31">
        <v>0</v>
      </c>
      <c r="H451" s="31">
        <v>0</v>
      </c>
      <c r="I451" s="31">
        <v>1</v>
      </c>
      <c r="J451" s="31">
        <f t="shared" si="26"/>
        <v>1</v>
      </c>
      <c r="K451" s="28">
        <v>998000</v>
      </c>
      <c r="L451" s="29">
        <v>0.81</v>
      </c>
      <c r="M451" s="31">
        <f t="shared" si="27"/>
        <v>808380</v>
      </c>
      <c r="N451" s="28">
        <f t="shared" ref="N451:N467" si="29">K451*(1-L451)</f>
        <v>189619.99999999994</v>
      </c>
      <c r="O451" s="28">
        <v>499000</v>
      </c>
    </row>
    <row r="452" spans="1:15" x14ac:dyDescent="0.35">
      <c r="A452">
        <v>734827</v>
      </c>
      <c r="B452" t="s">
        <v>827</v>
      </c>
      <c r="C452" t="s">
        <v>820</v>
      </c>
      <c r="D452" t="s">
        <v>146</v>
      </c>
      <c r="E452" s="30" t="s">
        <v>14</v>
      </c>
      <c r="F452" s="31">
        <v>0</v>
      </c>
      <c r="G452" s="31">
        <v>0</v>
      </c>
      <c r="H452" s="31">
        <v>0</v>
      </c>
      <c r="I452" s="31">
        <v>1</v>
      </c>
      <c r="J452" s="31">
        <f t="shared" ref="J452:J515" si="30">SUM(F452:I452)</f>
        <v>1</v>
      </c>
      <c r="K452" s="28">
        <v>998000</v>
      </c>
      <c r="L452" s="29">
        <v>0.81</v>
      </c>
      <c r="M452" s="31">
        <f t="shared" ref="M452:M515" si="31">K452*L452</f>
        <v>808380</v>
      </c>
      <c r="N452" s="28">
        <f t="shared" si="29"/>
        <v>189619.99999999994</v>
      </c>
      <c r="O452" s="28">
        <v>499000</v>
      </c>
    </row>
    <row r="453" spans="1:15" x14ac:dyDescent="0.35">
      <c r="A453">
        <v>734829</v>
      </c>
      <c r="B453" t="s">
        <v>828</v>
      </c>
      <c r="C453" t="s">
        <v>820</v>
      </c>
      <c r="D453" t="s">
        <v>146</v>
      </c>
      <c r="E453" s="30" t="s">
        <v>14</v>
      </c>
      <c r="F453" s="31">
        <v>0</v>
      </c>
      <c r="G453" s="31">
        <v>0</v>
      </c>
      <c r="H453" s="31">
        <v>0</v>
      </c>
      <c r="I453" s="31">
        <v>7</v>
      </c>
      <c r="J453" s="31">
        <f t="shared" si="30"/>
        <v>7</v>
      </c>
      <c r="K453" s="28">
        <v>998000</v>
      </c>
      <c r="L453" s="29">
        <v>0.81</v>
      </c>
      <c r="M453" s="31">
        <f t="shared" si="31"/>
        <v>808380</v>
      </c>
      <c r="N453" s="28">
        <f t="shared" si="29"/>
        <v>189619.99999999994</v>
      </c>
      <c r="O453" s="28">
        <v>499000</v>
      </c>
    </row>
    <row r="454" spans="1:15" x14ac:dyDescent="0.35">
      <c r="A454">
        <v>734830</v>
      </c>
      <c r="B454" t="s">
        <v>829</v>
      </c>
      <c r="C454" t="s">
        <v>820</v>
      </c>
      <c r="D454" t="s">
        <v>146</v>
      </c>
      <c r="E454" s="30" t="s">
        <v>14</v>
      </c>
      <c r="F454" s="31">
        <v>0</v>
      </c>
      <c r="G454" s="31">
        <v>0</v>
      </c>
      <c r="H454" s="31">
        <v>0</v>
      </c>
      <c r="I454" s="31">
        <v>7</v>
      </c>
      <c r="J454" s="31">
        <f t="shared" si="30"/>
        <v>7</v>
      </c>
      <c r="K454" s="28">
        <v>998000</v>
      </c>
      <c r="L454" s="29">
        <v>0.81</v>
      </c>
      <c r="M454" s="31">
        <f t="shared" si="31"/>
        <v>808380</v>
      </c>
      <c r="N454" s="28">
        <f t="shared" si="29"/>
        <v>189619.99999999994</v>
      </c>
      <c r="O454" s="28">
        <v>499000</v>
      </c>
    </row>
    <row r="455" spans="1:15" x14ac:dyDescent="0.35">
      <c r="A455">
        <v>734834</v>
      </c>
      <c r="B455" t="s">
        <v>830</v>
      </c>
      <c r="C455" t="s">
        <v>820</v>
      </c>
      <c r="D455" t="s">
        <v>146</v>
      </c>
      <c r="E455" s="30" t="s">
        <v>14</v>
      </c>
      <c r="F455" s="31">
        <v>0</v>
      </c>
      <c r="G455" s="31">
        <v>0</v>
      </c>
      <c r="H455" s="31">
        <v>0</v>
      </c>
      <c r="I455" s="31">
        <v>7</v>
      </c>
      <c r="J455" s="31">
        <f t="shared" si="30"/>
        <v>7</v>
      </c>
      <c r="K455" s="28">
        <v>598000</v>
      </c>
      <c r="L455" s="29">
        <v>0.81</v>
      </c>
      <c r="M455" s="31">
        <f t="shared" si="31"/>
        <v>484380.00000000006</v>
      </c>
      <c r="N455" s="28">
        <f t="shared" si="29"/>
        <v>113619.99999999997</v>
      </c>
      <c r="O455" s="28">
        <v>299000</v>
      </c>
    </row>
    <row r="456" spans="1:15" x14ac:dyDescent="0.35">
      <c r="A456">
        <v>734835</v>
      </c>
      <c r="B456" t="s">
        <v>831</v>
      </c>
      <c r="C456" t="s">
        <v>820</v>
      </c>
      <c r="D456" t="s">
        <v>146</v>
      </c>
      <c r="E456" s="30" t="s">
        <v>14</v>
      </c>
      <c r="F456" s="31">
        <v>0</v>
      </c>
      <c r="G456" s="31">
        <v>0</v>
      </c>
      <c r="H456" s="31">
        <v>1</v>
      </c>
      <c r="I456" s="31">
        <v>22</v>
      </c>
      <c r="J456" s="31">
        <f t="shared" si="30"/>
        <v>23</v>
      </c>
      <c r="K456" s="28">
        <v>598000</v>
      </c>
      <c r="L456" s="29">
        <v>0.81</v>
      </c>
      <c r="M456" s="31">
        <f t="shared" si="31"/>
        <v>484380.00000000006</v>
      </c>
      <c r="N456" s="28">
        <f t="shared" si="29"/>
        <v>113619.99999999997</v>
      </c>
      <c r="O456" s="28">
        <v>299000</v>
      </c>
    </row>
    <row r="457" spans="1:15" x14ac:dyDescent="0.35">
      <c r="A457">
        <v>734836</v>
      </c>
      <c r="B457" t="s">
        <v>832</v>
      </c>
      <c r="C457" t="s">
        <v>820</v>
      </c>
      <c r="D457" t="s">
        <v>146</v>
      </c>
      <c r="E457" s="30" t="s">
        <v>14</v>
      </c>
      <c r="F457" s="31">
        <v>0</v>
      </c>
      <c r="G457" s="31">
        <v>0</v>
      </c>
      <c r="H457" s="31">
        <v>0</v>
      </c>
      <c r="I457" s="31">
        <v>6</v>
      </c>
      <c r="J457" s="31">
        <f t="shared" si="30"/>
        <v>6</v>
      </c>
      <c r="K457" s="28">
        <v>598000</v>
      </c>
      <c r="L457" s="29">
        <v>0.81</v>
      </c>
      <c r="M457" s="31">
        <f t="shared" si="31"/>
        <v>484380.00000000006</v>
      </c>
      <c r="N457" s="28">
        <f t="shared" si="29"/>
        <v>113619.99999999997</v>
      </c>
      <c r="O457" s="28">
        <v>299000</v>
      </c>
    </row>
    <row r="458" spans="1:15" x14ac:dyDescent="0.35">
      <c r="A458">
        <v>734839</v>
      </c>
      <c r="B458" t="s">
        <v>833</v>
      </c>
      <c r="C458" t="s">
        <v>820</v>
      </c>
      <c r="D458" t="s">
        <v>146</v>
      </c>
      <c r="E458" s="30" t="s">
        <v>14</v>
      </c>
      <c r="F458" s="31">
        <v>0</v>
      </c>
      <c r="G458" s="31">
        <v>0</v>
      </c>
      <c r="H458" s="31">
        <v>1</v>
      </c>
      <c r="I458" s="31">
        <v>7</v>
      </c>
      <c r="J458" s="31">
        <f t="shared" si="30"/>
        <v>8</v>
      </c>
      <c r="K458" s="28">
        <v>598000</v>
      </c>
      <c r="L458" s="29">
        <v>0.81</v>
      </c>
      <c r="M458" s="31">
        <f t="shared" si="31"/>
        <v>484380.00000000006</v>
      </c>
      <c r="N458" s="28">
        <f t="shared" si="29"/>
        <v>113619.99999999997</v>
      </c>
      <c r="O458" s="28">
        <v>299000</v>
      </c>
    </row>
    <row r="459" spans="1:15" x14ac:dyDescent="0.35">
      <c r="A459">
        <v>734840</v>
      </c>
      <c r="B459" t="s">
        <v>834</v>
      </c>
      <c r="C459" t="s">
        <v>820</v>
      </c>
      <c r="D459" t="s">
        <v>146</v>
      </c>
      <c r="E459" s="30" t="s">
        <v>14</v>
      </c>
      <c r="F459" s="31">
        <v>0</v>
      </c>
      <c r="G459" s="31">
        <v>0</v>
      </c>
      <c r="H459" s="31">
        <v>0</v>
      </c>
      <c r="I459" s="31">
        <v>6</v>
      </c>
      <c r="J459" s="31">
        <f t="shared" si="30"/>
        <v>6</v>
      </c>
      <c r="K459" s="28">
        <v>598000</v>
      </c>
      <c r="L459" s="29">
        <v>0.81</v>
      </c>
      <c r="M459" s="31">
        <f t="shared" si="31"/>
        <v>484380.00000000006</v>
      </c>
      <c r="N459" s="28">
        <f t="shared" si="29"/>
        <v>113619.99999999997</v>
      </c>
      <c r="O459" s="28">
        <v>299000</v>
      </c>
    </row>
    <row r="460" spans="1:15" x14ac:dyDescent="0.35">
      <c r="A460">
        <v>734843</v>
      </c>
      <c r="B460" t="s">
        <v>835</v>
      </c>
      <c r="C460" t="s">
        <v>820</v>
      </c>
      <c r="D460" t="s">
        <v>146</v>
      </c>
      <c r="E460" s="30" t="s">
        <v>14</v>
      </c>
      <c r="F460" s="31">
        <v>0</v>
      </c>
      <c r="G460" s="31">
        <v>0</v>
      </c>
      <c r="H460" s="31">
        <v>0</v>
      </c>
      <c r="I460" s="31">
        <v>5</v>
      </c>
      <c r="J460" s="31">
        <f t="shared" si="30"/>
        <v>5</v>
      </c>
      <c r="K460" s="28">
        <v>598000</v>
      </c>
      <c r="L460" s="29">
        <v>0.81</v>
      </c>
      <c r="M460" s="31">
        <f t="shared" si="31"/>
        <v>484380.00000000006</v>
      </c>
      <c r="N460" s="28">
        <f t="shared" si="29"/>
        <v>113619.99999999997</v>
      </c>
      <c r="O460" s="28">
        <v>299000</v>
      </c>
    </row>
    <row r="461" spans="1:15" x14ac:dyDescent="0.35">
      <c r="A461">
        <v>734849</v>
      </c>
      <c r="B461" t="s">
        <v>836</v>
      </c>
      <c r="C461" t="s">
        <v>820</v>
      </c>
      <c r="D461" t="s">
        <v>146</v>
      </c>
      <c r="E461" s="30" t="s">
        <v>14</v>
      </c>
      <c r="F461" s="31">
        <v>0</v>
      </c>
      <c r="G461" s="31">
        <v>0</v>
      </c>
      <c r="H461" s="31">
        <v>1</v>
      </c>
      <c r="I461" s="31">
        <v>1</v>
      </c>
      <c r="J461" s="31">
        <f t="shared" si="30"/>
        <v>2</v>
      </c>
      <c r="K461" s="28">
        <v>478000</v>
      </c>
      <c r="L461" s="29">
        <v>0.81</v>
      </c>
      <c r="M461" s="31">
        <f t="shared" si="31"/>
        <v>387180</v>
      </c>
      <c r="N461" s="28">
        <f t="shared" si="29"/>
        <v>90819.999999999971</v>
      </c>
      <c r="O461" s="28">
        <v>239000</v>
      </c>
    </row>
    <row r="462" spans="1:15" x14ac:dyDescent="0.35">
      <c r="A462">
        <v>734850</v>
      </c>
      <c r="B462" t="s">
        <v>837</v>
      </c>
      <c r="C462" t="s">
        <v>820</v>
      </c>
      <c r="D462" t="s">
        <v>146</v>
      </c>
      <c r="E462" s="30" t="s">
        <v>14</v>
      </c>
      <c r="F462" s="31">
        <v>0</v>
      </c>
      <c r="G462" s="31">
        <v>0</v>
      </c>
      <c r="H462" s="31">
        <v>0</v>
      </c>
      <c r="I462" s="31">
        <v>3</v>
      </c>
      <c r="J462" s="31">
        <f t="shared" si="30"/>
        <v>3</v>
      </c>
      <c r="K462" s="28">
        <v>478000</v>
      </c>
      <c r="L462" s="29">
        <v>0.81</v>
      </c>
      <c r="M462" s="31">
        <f t="shared" si="31"/>
        <v>387180</v>
      </c>
      <c r="N462" s="28">
        <f t="shared" si="29"/>
        <v>90819.999999999971</v>
      </c>
      <c r="O462" s="28">
        <v>239000</v>
      </c>
    </row>
    <row r="463" spans="1:15" x14ac:dyDescent="0.35">
      <c r="A463">
        <v>730307</v>
      </c>
      <c r="B463" t="s">
        <v>840</v>
      </c>
      <c r="C463" t="s">
        <v>391</v>
      </c>
      <c r="D463" t="s">
        <v>140</v>
      </c>
      <c r="E463" s="30" t="s">
        <v>14</v>
      </c>
      <c r="F463" s="31">
        <v>0</v>
      </c>
      <c r="G463" s="31">
        <v>0</v>
      </c>
      <c r="H463" s="31">
        <v>0</v>
      </c>
      <c r="I463" s="31">
        <v>1</v>
      </c>
      <c r="J463" s="31">
        <f t="shared" si="30"/>
        <v>1</v>
      </c>
      <c r="K463" s="28">
        <v>298000</v>
      </c>
      <c r="L463" s="29">
        <v>0.81</v>
      </c>
      <c r="M463" s="31">
        <f t="shared" si="31"/>
        <v>241380.00000000003</v>
      </c>
      <c r="N463" s="28">
        <f t="shared" si="29"/>
        <v>56619.999999999985</v>
      </c>
      <c r="O463" s="28">
        <v>89400.000000000015</v>
      </c>
    </row>
    <row r="464" spans="1:15" x14ac:dyDescent="0.35">
      <c r="A464">
        <v>734631</v>
      </c>
      <c r="B464" t="s">
        <v>841</v>
      </c>
      <c r="C464" t="s">
        <v>391</v>
      </c>
      <c r="D464" t="s">
        <v>140</v>
      </c>
      <c r="E464" s="30" t="s">
        <v>14</v>
      </c>
      <c r="F464" s="31">
        <v>0</v>
      </c>
      <c r="G464" s="31">
        <v>0</v>
      </c>
      <c r="H464" s="31">
        <v>0</v>
      </c>
      <c r="I464" s="31">
        <v>4</v>
      </c>
      <c r="J464" s="31">
        <f t="shared" si="30"/>
        <v>4</v>
      </c>
      <c r="K464" s="28">
        <v>348000</v>
      </c>
      <c r="L464" s="29">
        <v>0.81</v>
      </c>
      <c r="M464" s="31">
        <f t="shared" si="31"/>
        <v>281880</v>
      </c>
      <c r="N464" s="28">
        <f t="shared" si="29"/>
        <v>66119.999999999985</v>
      </c>
      <c r="O464" s="28">
        <v>104400.00000000001</v>
      </c>
    </row>
    <row r="465" spans="1:15" x14ac:dyDescent="0.35">
      <c r="A465">
        <v>734632</v>
      </c>
      <c r="B465" t="s">
        <v>842</v>
      </c>
      <c r="C465" t="s">
        <v>391</v>
      </c>
      <c r="D465" t="s">
        <v>140</v>
      </c>
      <c r="E465" s="30" t="s">
        <v>14</v>
      </c>
      <c r="F465" s="31">
        <v>0</v>
      </c>
      <c r="G465" s="31">
        <v>0</v>
      </c>
      <c r="H465" s="31">
        <v>0</v>
      </c>
      <c r="I465" s="31">
        <v>2</v>
      </c>
      <c r="J465" s="31">
        <f t="shared" si="30"/>
        <v>2</v>
      </c>
      <c r="K465" s="28">
        <v>348000</v>
      </c>
      <c r="L465" s="29">
        <v>0.81</v>
      </c>
      <c r="M465" s="31">
        <f t="shared" si="31"/>
        <v>281880</v>
      </c>
      <c r="N465" s="28">
        <f t="shared" si="29"/>
        <v>66119.999999999985</v>
      </c>
      <c r="O465" s="28">
        <v>104400.00000000001</v>
      </c>
    </row>
    <row r="466" spans="1:15" x14ac:dyDescent="0.35">
      <c r="A466">
        <v>734635</v>
      </c>
      <c r="B466" t="s">
        <v>843</v>
      </c>
      <c r="C466" t="s">
        <v>391</v>
      </c>
      <c r="D466" t="s">
        <v>140</v>
      </c>
      <c r="E466" s="30" t="s">
        <v>14</v>
      </c>
      <c r="F466" s="31">
        <v>0</v>
      </c>
      <c r="G466" s="31">
        <v>0</v>
      </c>
      <c r="H466" s="31">
        <v>0</v>
      </c>
      <c r="I466" s="31">
        <v>1</v>
      </c>
      <c r="J466" s="31">
        <f t="shared" si="30"/>
        <v>1</v>
      </c>
      <c r="K466" s="28">
        <v>348000</v>
      </c>
      <c r="L466" s="29">
        <v>0.81</v>
      </c>
      <c r="M466" s="31">
        <f t="shared" si="31"/>
        <v>281880</v>
      </c>
      <c r="N466" s="28">
        <f t="shared" si="29"/>
        <v>66119.999999999985</v>
      </c>
      <c r="O466" s="28">
        <v>104400.00000000001</v>
      </c>
    </row>
    <row r="467" spans="1:15" x14ac:dyDescent="0.35">
      <c r="A467">
        <v>736227</v>
      </c>
      <c r="B467" t="s">
        <v>854</v>
      </c>
      <c r="C467" t="s">
        <v>391</v>
      </c>
      <c r="D467" t="s">
        <v>140</v>
      </c>
      <c r="E467" s="30" t="s">
        <v>14</v>
      </c>
      <c r="F467" s="31">
        <v>0</v>
      </c>
      <c r="G467" s="31">
        <v>0</v>
      </c>
      <c r="H467" s="31">
        <v>0</v>
      </c>
      <c r="I467" s="31">
        <v>1</v>
      </c>
      <c r="J467" s="31">
        <f t="shared" si="30"/>
        <v>1</v>
      </c>
      <c r="K467" s="28">
        <v>348000</v>
      </c>
      <c r="L467" s="29">
        <v>0.81</v>
      </c>
      <c r="M467" s="31">
        <f t="shared" si="31"/>
        <v>281880</v>
      </c>
      <c r="N467" s="28">
        <f t="shared" si="29"/>
        <v>66119.999999999985</v>
      </c>
      <c r="O467" s="28">
        <v>104400.00000000001</v>
      </c>
    </row>
    <row r="468" spans="1:15" x14ac:dyDescent="0.35">
      <c r="A468">
        <v>737268</v>
      </c>
      <c r="B468" t="s">
        <v>432</v>
      </c>
      <c r="C468" t="s">
        <v>426</v>
      </c>
      <c r="D468" t="s">
        <v>140</v>
      </c>
      <c r="E468" s="30" t="s">
        <v>14</v>
      </c>
      <c r="F468" s="31">
        <v>0</v>
      </c>
      <c r="G468" s="31">
        <v>0</v>
      </c>
      <c r="H468" s="31">
        <v>0</v>
      </c>
      <c r="I468" s="31">
        <v>4</v>
      </c>
      <c r="J468" s="31">
        <f t="shared" si="30"/>
        <v>4</v>
      </c>
      <c r="K468" s="28">
        <v>298000</v>
      </c>
      <c r="L468" s="29">
        <v>0.45</v>
      </c>
      <c r="M468" s="31">
        <f t="shared" si="31"/>
        <v>134100</v>
      </c>
      <c r="N468" s="28">
        <f t="shared" ref="N451:N514" si="32">K468*(1-L468)</f>
        <v>163900</v>
      </c>
      <c r="O468" s="28">
        <v>238400</v>
      </c>
    </row>
    <row r="469" spans="1:15" x14ac:dyDescent="0.35">
      <c r="A469">
        <v>737804</v>
      </c>
      <c r="B469" t="s">
        <v>433</v>
      </c>
      <c r="C469" t="s">
        <v>426</v>
      </c>
      <c r="D469" t="s">
        <v>140</v>
      </c>
      <c r="E469" s="30" t="s">
        <v>14</v>
      </c>
      <c r="F469" s="31">
        <v>0</v>
      </c>
      <c r="G469" s="31">
        <v>113</v>
      </c>
      <c r="H469" s="31">
        <v>9</v>
      </c>
      <c r="I469" s="31">
        <v>29</v>
      </c>
      <c r="J469" s="31">
        <f t="shared" si="30"/>
        <v>151</v>
      </c>
      <c r="K469" s="28">
        <v>298000</v>
      </c>
      <c r="L469" s="29">
        <v>0.45</v>
      </c>
      <c r="M469" s="31">
        <f t="shared" si="31"/>
        <v>134100</v>
      </c>
      <c r="N469" s="28">
        <f t="shared" si="32"/>
        <v>163900</v>
      </c>
      <c r="O469" s="28">
        <v>238400</v>
      </c>
    </row>
    <row r="470" spans="1:15" x14ac:dyDescent="0.35">
      <c r="A470">
        <v>730671</v>
      </c>
      <c r="B470" t="s">
        <v>860</v>
      </c>
      <c r="C470" t="s">
        <v>368</v>
      </c>
      <c r="D470" t="s">
        <v>140</v>
      </c>
      <c r="E470" s="30" t="s">
        <v>14</v>
      </c>
      <c r="F470" s="31">
        <v>0</v>
      </c>
      <c r="G470" s="31">
        <v>0</v>
      </c>
      <c r="H470" s="31">
        <v>0</v>
      </c>
      <c r="I470" s="31">
        <v>3</v>
      </c>
      <c r="J470" s="31">
        <f t="shared" si="30"/>
        <v>3</v>
      </c>
      <c r="K470" s="28">
        <v>578000</v>
      </c>
      <c r="L470" s="29">
        <v>0.81</v>
      </c>
      <c r="M470" s="31">
        <f t="shared" si="31"/>
        <v>468180.00000000006</v>
      </c>
      <c r="N470" s="28">
        <f t="shared" si="32"/>
        <v>109819.99999999997</v>
      </c>
      <c r="O470" s="28">
        <v>289000</v>
      </c>
    </row>
    <row r="471" spans="1:15" x14ac:dyDescent="0.35">
      <c r="A471">
        <v>730486</v>
      </c>
      <c r="B471" t="s">
        <v>470</v>
      </c>
      <c r="C471" t="s">
        <v>97</v>
      </c>
      <c r="D471" t="s">
        <v>140</v>
      </c>
      <c r="E471" s="30">
        <v>0</v>
      </c>
      <c r="F471" s="31">
        <v>0</v>
      </c>
      <c r="G471" s="31">
        <v>0</v>
      </c>
      <c r="H471" s="31">
        <v>2</v>
      </c>
      <c r="I471" s="31">
        <v>5</v>
      </c>
      <c r="J471" s="31">
        <f t="shared" si="30"/>
        <v>7</v>
      </c>
      <c r="K471" s="28">
        <v>4898000</v>
      </c>
      <c r="L471" s="29">
        <v>0.45</v>
      </c>
      <c r="M471" s="31">
        <f t="shared" si="31"/>
        <v>2204100</v>
      </c>
      <c r="N471" s="28">
        <f t="shared" si="32"/>
        <v>2693900</v>
      </c>
      <c r="O471" s="28">
        <v>3918400</v>
      </c>
    </row>
    <row r="472" spans="1:15" x14ac:dyDescent="0.35">
      <c r="A472">
        <v>730487</v>
      </c>
      <c r="B472" t="s">
        <v>471</v>
      </c>
      <c r="C472" t="s">
        <v>97</v>
      </c>
      <c r="D472" t="s">
        <v>140</v>
      </c>
      <c r="E472" s="30" t="s">
        <v>14</v>
      </c>
      <c r="F472" s="31">
        <v>0</v>
      </c>
      <c r="G472" s="31">
        <v>0</v>
      </c>
      <c r="H472" s="31">
        <v>0</v>
      </c>
      <c r="I472" s="31">
        <v>1</v>
      </c>
      <c r="J472" s="31">
        <f t="shared" si="30"/>
        <v>1</v>
      </c>
      <c r="K472" s="28">
        <v>5698000</v>
      </c>
      <c r="L472" s="29">
        <v>0.45</v>
      </c>
      <c r="M472" s="31">
        <f t="shared" si="31"/>
        <v>2564100</v>
      </c>
      <c r="N472" s="28">
        <f t="shared" si="32"/>
        <v>3133900.0000000005</v>
      </c>
      <c r="O472" s="28">
        <v>4558400</v>
      </c>
    </row>
    <row r="473" spans="1:15" x14ac:dyDescent="0.35">
      <c r="A473">
        <v>730488</v>
      </c>
      <c r="B473" t="s">
        <v>861</v>
      </c>
      <c r="C473" t="s">
        <v>97</v>
      </c>
      <c r="D473" t="s">
        <v>140</v>
      </c>
      <c r="E473" s="30" t="s">
        <v>14</v>
      </c>
      <c r="F473" s="31">
        <v>10</v>
      </c>
      <c r="G473" s="31">
        <v>7</v>
      </c>
      <c r="H473" s="31">
        <v>4</v>
      </c>
      <c r="I473" s="31">
        <v>19</v>
      </c>
      <c r="J473" s="31">
        <f t="shared" si="30"/>
        <v>40</v>
      </c>
      <c r="K473" s="28">
        <v>4498000</v>
      </c>
      <c r="L473" s="29">
        <v>0.45</v>
      </c>
      <c r="M473" s="31">
        <f t="shared" si="31"/>
        <v>2024100</v>
      </c>
      <c r="N473" s="28">
        <f t="shared" si="32"/>
        <v>2473900</v>
      </c>
      <c r="O473" s="28">
        <v>3598400</v>
      </c>
    </row>
    <row r="474" spans="1:15" x14ac:dyDescent="0.35">
      <c r="A474">
        <v>731422</v>
      </c>
      <c r="B474" t="s">
        <v>472</v>
      </c>
      <c r="C474" t="s">
        <v>97</v>
      </c>
      <c r="D474" t="s">
        <v>140</v>
      </c>
      <c r="E474" s="30" t="s">
        <v>14</v>
      </c>
      <c r="F474" s="31">
        <v>0</v>
      </c>
      <c r="G474" s="31">
        <v>0</v>
      </c>
      <c r="H474" s="31">
        <v>0</v>
      </c>
      <c r="I474" s="31">
        <v>8</v>
      </c>
      <c r="J474" s="31">
        <f t="shared" si="30"/>
        <v>8</v>
      </c>
      <c r="K474" s="28">
        <v>2998000</v>
      </c>
      <c r="L474" s="29">
        <v>0.45</v>
      </c>
      <c r="M474" s="31">
        <f t="shared" si="31"/>
        <v>1349100</v>
      </c>
      <c r="N474" s="28">
        <f t="shared" si="32"/>
        <v>1648900.0000000002</v>
      </c>
      <c r="O474" s="28">
        <v>2398400</v>
      </c>
    </row>
    <row r="475" spans="1:15" x14ac:dyDescent="0.35">
      <c r="A475">
        <v>733146</v>
      </c>
      <c r="B475" t="s">
        <v>142</v>
      </c>
      <c r="C475" t="s">
        <v>97</v>
      </c>
      <c r="D475" t="s">
        <v>140</v>
      </c>
      <c r="E475" s="30">
        <v>0</v>
      </c>
      <c r="F475" s="31">
        <v>0</v>
      </c>
      <c r="G475" s="31">
        <v>0</v>
      </c>
      <c r="H475" s="31">
        <v>0</v>
      </c>
      <c r="I475" s="31">
        <v>1</v>
      </c>
      <c r="J475" s="31">
        <f t="shared" si="30"/>
        <v>1</v>
      </c>
      <c r="K475" s="28">
        <v>4898000</v>
      </c>
      <c r="L475" s="29">
        <v>0.45</v>
      </c>
      <c r="M475" s="31">
        <f t="shared" si="31"/>
        <v>2204100</v>
      </c>
      <c r="N475" s="28">
        <f t="shared" si="32"/>
        <v>2693900</v>
      </c>
      <c r="O475" s="28">
        <v>3918400</v>
      </c>
    </row>
    <row r="476" spans="1:15" x14ac:dyDescent="0.35">
      <c r="A476">
        <v>733147</v>
      </c>
      <c r="B476" t="s">
        <v>143</v>
      </c>
      <c r="C476" t="s">
        <v>97</v>
      </c>
      <c r="D476" t="s">
        <v>140</v>
      </c>
      <c r="E476" s="30">
        <v>0</v>
      </c>
      <c r="F476" s="31">
        <v>0</v>
      </c>
      <c r="G476" s="31">
        <v>0</v>
      </c>
      <c r="H476" s="31">
        <v>0</v>
      </c>
      <c r="I476" s="31">
        <v>8</v>
      </c>
      <c r="J476" s="31">
        <f t="shared" si="30"/>
        <v>8</v>
      </c>
      <c r="K476" s="28">
        <v>4898000</v>
      </c>
      <c r="L476" s="29">
        <v>0.45</v>
      </c>
      <c r="M476" s="31">
        <f t="shared" si="31"/>
        <v>2204100</v>
      </c>
      <c r="N476" s="28">
        <f t="shared" si="32"/>
        <v>2693900</v>
      </c>
      <c r="O476" s="28">
        <v>3918400</v>
      </c>
    </row>
    <row r="477" spans="1:15" x14ac:dyDescent="0.35">
      <c r="A477">
        <v>733837</v>
      </c>
      <c r="B477" t="s">
        <v>473</v>
      </c>
      <c r="C477" t="s">
        <v>97</v>
      </c>
      <c r="D477" t="s">
        <v>140</v>
      </c>
      <c r="E477" s="30" t="s">
        <v>14</v>
      </c>
      <c r="F477" s="31">
        <v>0</v>
      </c>
      <c r="G477" s="31">
        <v>0</v>
      </c>
      <c r="H477" s="31">
        <v>0</v>
      </c>
      <c r="I477" s="31">
        <v>5</v>
      </c>
      <c r="J477" s="31">
        <f t="shared" si="30"/>
        <v>5</v>
      </c>
      <c r="K477" s="28">
        <v>3198000</v>
      </c>
      <c r="L477" s="29">
        <v>0.45</v>
      </c>
      <c r="M477" s="31">
        <f t="shared" si="31"/>
        <v>1439100</v>
      </c>
      <c r="N477" s="28">
        <f t="shared" si="32"/>
        <v>1758900.0000000002</v>
      </c>
      <c r="O477" s="28">
        <v>2558400</v>
      </c>
    </row>
    <row r="478" spans="1:15" x14ac:dyDescent="0.35">
      <c r="A478">
        <v>735293</v>
      </c>
      <c r="B478" t="s">
        <v>144</v>
      </c>
      <c r="C478" t="s">
        <v>97</v>
      </c>
      <c r="D478" t="s">
        <v>140</v>
      </c>
      <c r="E478" s="30" t="s">
        <v>14</v>
      </c>
      <c r="F478" s="31">
        <v>0</v>
      </c>
      <c r="G478" s="31">
        <v>0</v>
      </c>
      <c r="H478" s="31">
        <v>0</v>
      </c>
      <c r="I478" s="31">
        <v>2</v>
      </c>
      <c r="J478" s="31">
        <f t="shared" si="30"/>
        <v>2</v>
      </c>
      <c r="K478" s="28">
        <v>4698000</v>
      </c>
      <c r="L478" s="29">
        <v>0.45</v>
      </c>
      <c r="M478" s="31">
        <f t="shared" si="31"/>
        <v>2114100</v>
      </c>
      <c r="N478" s="28">
        <f t="shared" si="32"/>
        <v>2583900</v>
      </c>
      <c r="O478" s="28">
        <v>3758400</v>
      </c>
    </row>
    <row r="479" spans="1:15" x14ac:dyDescent="0.35">
      <c r="A479">
        <v>723943</v>
      </c>
      <c r="B479" t="s">
        <v>863</v>
      </c>
      <c r="C479" t="s">
        <v>449</v>
      </c>
      <c r="D479" t="s">
        <v>140</v>
      </c>
      <c r="E479" s="30" t="s">
        <v>14</v>
      </c>
      <c r="F479" s="31">
        <v>0</v>
      </c>
      <c r="G479" s="31">
        <v>0</v>
      </c>
      <c r="H479" s="31">
        <v>1</v>
      </c>
      <c r="I479" s="31">
        <v>14</v>
      </c>
      <c r="J479" s="31">
        <f t="shared" si="30"/>
        <v>15</v>
      </c>
      <c r="K479" s="28">
        <v>2298000</v>
      </c>
      <c r="L479" s="29">
        <v>0.45</v>
      </c>
      <c r="M479" s="31">
        <f t="shared" si="31"/>
        <v>1034100</v>
      </c>
      <c r="N479" s="28">
        <f t="shared" si="32"/>
        <v>1263900</v>
      </c>
      <c r="O479" s="28">
        <v>1838400</v>
      </c>
    </row>
    <row r="480" spans="1:15" x14ac:dyDescent="0.35">
      <c r="A480">
        <v>728971</v>
      </c>
      <c r="B480" t="s">
        <v>1851</v>
      </c>
      <c r="C480" t="s">
        <v>449</v>
      </c>
      <c r="D480" t="s">
        <v>140</v>
      </c>
      <c r="E480" s="30" t="s">
        <v>14</v>
      </c>
      <c r="F480" s="31">
        <v>0</v>
      </c>
      <c r="G480" s="31">
        <v>0</v>
      </c>
      <c r="H480" s="31">
        <v>0</v>
      </c>
      <c r="I480" s="31">
        <v>31</v>
      </c>
      <c r="J480" s="31">
        <f t="shared" si="30"/>
        <v>31</v>
      </c>
      <c r="K480" s="28">
        <v>498000</v>
      </c>
      <c r="L480" s="29">
        <v>0.17</v>
      </c>
      <c r="M480" s="31">
        <f t="shared" si="31"/>
        <v>84660</v>
      </c>
      <c r="N480" s="28">
        <f t="shared" si="32"/>
        <v>413340</v>
      </c>
    </row>
    <row r="481" spans="1:15" x14ac:dyDescent="0.35">
      <c r="A481">
        <v>730757</v>
      </c>
      <c r="B481" t="s">
        <v>1852</v>
      </c>
      <c r="C481" t="s">
        <v>449</v>
      </c>
      <c r="D481" t="s">
        <v>140</v>
      </c>
      <c r="E481" s="30">
        <v>0</v>
      </c>
      <c r="F481" s="31">
        <v>0</v>
      </c>
      <c r="G481" s="31">
        <v>0</v>
      </c>
      <c r="H481" s="31">
        <v>0</v>
      </c>
      <c r="I481" s="31">
        <v>6</v>
      </c>
      <c r="J481" s="31">
        <f t="shared" si="30"/>
        <v>6</v>
      </c>
      <c r="K481" s="28">
        <v>548000</v>
      </c>
      <c r="L481" s="29">
        <v>0.17</v>
      </c>
      <c r="M481" s="31">
        <f t="shared" si="31"/>
        <v>93160</v>
      </c>
      <c r="N481" s="28">
        <f t="shared" si="32"/>
        <v>454840</v>
      </c>
    </row>
    <row r="482" spans="1:15" x14ac:dyDescent="0.35">
      <c r="A482">
        <v>730758</v>
      </c>
      <c r="B482" t="s">
        <v>474</v>
      </c>
      <c r="C482" t="s">
        <v>449</v>
      </c>
      <c r="D482" t="s">
        <v>140</v>
      </c>
      <c r="E482" s="30" t="s">
        <v>14</v>
      </c>
      <c r="F482" s="31">
        <v>0</v>
      </c>
      <c r="G482" s="31">
        <v>0</v>
      </c>
      <c r="H482" s="31">
        <v>0</v>
      </c>
      <c r="I482" s="31">
        <v>8</v>
      </c>
      <c r="J482" s="31">
        <f t="shared" si="30"/>
        <v>8</v>
      </c>
      <c r="K482" s="28">
        <v>928000</v>
      </c>
      <c r="L482" s="29">
        <v>0.45</v>
      </c>
      <c r="M482" s="31">
        <f t="shared" si="31"/>
        <v>417600</v>
      </c>
      <c r="N482" s="28">
        <f t="shared" si="32"/>
        <v>510400.00000000006</v>
      </c>
      <c r="O482" s="28">
        <v>742400</v>
      </c>
    </row>
    <row r="483" spans="1:15" x14ac:dyDescent="0.35">
      <c r="A483">
        <v>730759</v>
      </c>
      <c r="B483" t="s">
        <v>475</v>
      </c>
      <c r="C483" t="s">
        <v>449</v>
      </c>
      <c r="D483" t="s">
        <v>140</v>
      </c>
      <c r="E483" s="30" t="s">
        <v>14</v>
      </c>
      <c r="F483" s="31">
        <v>0</v>
      </c>
      <c r="G483" s="31">
        <v>0</v>
      </c>
      <c r="H483" s="31">
        <v>0</v>
      </c>
      <c r="I483" s="31">
        <v>7</v>
      </c>
      <c r="J483" s="31">
        <f t="shared" si="30"/>
        <v>7</v>
      </c>
      <c r="K483" s="28">
        <v>928000</v>
      </c>
      <c r="L483" s="29">
        <v>0.45</v>
      </c>
      <c r="M483" s="31">
        <f t="shared" si="31"/>
        <v>417600</v>
      </c>
      <c r="N483" s="28">
        <f t="shared" si="32"/>
        <v>510400.00000000006</v>
      </c>
      <c r="O483" s="28">
        <v>742400</v>
      </c>
    </row>
    <row r="484" spans="1:15" x14ac:dyDescent="0.35">
      <c r="A484">
        <v>730760</v>
      </c>
      <c r="B484" t="s">
        <v>864</v>
      </c>
      <c r="C484" t="s">
        <v>449</v>
      </c>
      <c r="D484" t="s">
        <v>140</v>
      </c>
      <c r="E484" s="30" t="s">
        <v>14</v>
      </c>
      <c r="F484" s="31">
        <v>0</v>
      </c>
      <c r="G484" s="31">
        <v>0</v>
      </c>
      <c r="H484" s="31">
        <v>0</v>
      </c>
      <c r="I484" s="31">
        <v>15</v>
      </c>
      <c r="J484" s="31">
        <f t="shared" si="30"/>
        <v>15</v>
      </c>
      <c r="K484" s="28">
        <v>928000</v>
      </c>
      <c r="L484" s="29">
        <v>0.45</v>
      </c>
      <c r="M484" s="31">
        <f t="shared" si="31"/>
        <v>417600</v>
      </c>
      <c r="N484" s="28">
        <f t="shared" si="32"/>
        <v>510400.00000000006</v>
      </c>
      <c r="O484" s="28">
        <v>742400</v>
      </c>
    </row>
    <row r="485" spans="1:15" x14ac:dyDescent="0.35">
      <c r="A485">
        <v>730761</v>
      </c>
      <c r="B485" t="s">
        <v>865</v>
      </c>
      <c r="C485" t="s">
        <v>449</v>
      </c>
      <c r="D485" t="s">
        <v>140</v>
      </c>
      <c r="E485" s="30" t="s">
        <v>14</v>
      </c>
      <c r="F485" s="31">
        <v>0</v>
      </c>
      <c r="G485" s="31">
        <v>0</v>
      </c>
      <c r="H485" s="31">
        <v>0</v>
      </c>
      <c r="I485" s="31">
        <v>15</v>
      </c>
      <c r="J485" s="31">
        <f t="shared" si="30"/>
        <v>15</v>
      </c>
      <c r="K485" s="28">
        <v>928000</v>
      </c>
      <c r="L485" s="29">
        <v>0.45</v>
      </c>
      <c r="M485" s="31">
        <f t="shared" si="31"/>
        <v>417600</v>
      </c>
      <c r="N485" s="28">
        <f t="shared" si="32"/>
        <v>510400.00000000006</v>
      </c>
      <c r="O485" s="28">
        <v>742400</v>
      </c>
    </row>
    <row r="486" spans="1:15" x14ac:dyDescent="0.35">
      <c r="A486">
        <v>730762</v>
      </c>
      <c r="B486" t="s">
        <v>1853</v>
      </c>
      <c r="C486" t="s">
        <v>449</v>
      </c>
      <c r="D486" t="s">
        <v>140</v>
      </c>
      <c r="E486" s="30" t="s">
        <v>14</v>
      </c>
      <c r="F486" s="31">
        <v>0</v>
      </c>
      <c r="G486" s="31">
        <v>0</v>
      </c>
      <c r="H486" s="31">
        <v>0</v>
      </c>
      <c r="I486" s="31">
        <v>10</v>
      </c>
      <c r="J486" s="31">
        <f t="shared" si="30"/>
        <v>10</v>
      </c>
      <c r="K486" s="28">
        <v>698000</v>
      </c>
      <c r="L486" s="29">
        <v>0.45</v>
      </c>
      <c r="M486" s="31">
        <f t="shared" si="31"/>
        <v>314100</v>
      </c>
      <c r="N486" s="28">
        <f t="shared" si="32"/>
        <v>383900.00000000006</v>
      </c>
    </row>
    <row r="487" spans="1:15" x14ac:dyDescent="0.35">
      <c r="A487">
        <v>730763</v>
      </c>
      <c r="B487" t="s">
        <v>1854</v>
      </c>
      <c r="C487" t="s">
        <v>449</v>
      </c>
      <c r="D487" t="s">
        <v>140</v>
      </c>
      <c r="E487" s="30" t="s">
        <v>14</v>
      </c>
      <c r="F487" s="31">
        <v>0</v>
      </c>
      <c r="G487" s="31">
        <v>0</v>
      </c>
      <c r="H487" s="31">
        <v>1</v>
      </c>
      <c r="I487" s="31">
        <v>15</v>
      </c>
      <c r="J487" s="31">
        <f t="shared" si="30"/>
        <v>16</v>
      </c>
      <c r="K487" s="28">
        <v>698000</v>
      </c>
      <c r="L487" s="29">
        <v>0.45</v>
      </c>
      <c r="M487" s="31">
        <f t="shared" si="31"/>
        <v>314100</v>
      </c>
      <c r="N487" s="28">
        <f t="shared" si="32"/>
        <v>383900.00000000006</v>
      </c>
    </row>
    <row r="488" spans="1:15" x14ac:dyDescent="0.35">
      <c r="A488">
        <v>730764</v>
      </c>
      <c r="B488" t="s">
        <v>1855</v>
      </c>
      <c r="C488" t="s">
        <v>449</v>
      </c>
      <c r="D488" t="s">
        <v>140</v>
      </c>
      <c r="E488" s="30" t="s">
        <v>14</v>
      </c>
      <c r="F488" s="31">
        <v>0</v>
      </c>
      <c r="G488" s="31">
        <v>1</v>
      </c>
      <c r="H488" s="31">
        <v>0</v>
      </c>
      <c r="I488" s="31">
        <v>38</v>
      </c>
      <c r="J488" s="31">
        <f t="shared" si="30"/>
        <v>39</v>
      </c>
      <c r="K488" s="28">
        <v>698000</v>
      </c>
      <c r="L488" s="29">
        <v>0.45</v>
      </c>
      <c r="M488" s="31">
        <f t="shared" si="31"/>
        <v>314100</v>
      </c>
      <c r="N488" s="28">
        <f t="shared" si="32"/>
        <v>383900.00000000006</v>
      </c>
    </row>
    <row r="489" spans="1:15" x14ac:dyDescent="0.35">
      <c r="A489">
        <v>730791</v>
      </c>
      <c r="B489" t="s">
        <v>1856</v>
      </c>
      <c r="C489" t="s">
        <v>449</v>
      </c>
      <c r="D489" t="s">
        <v>140</v>
      </c>
      <c r="E489" s="30" t="s">
        <v>14</v>
      </c>
      <c r="F489" s="31">
        <v>0</v>
      </c>
      <c r="G489" s="31">
        <v>0</v>
      </c>
      <c r="H489" s="31">
        <v>0</v>
      </c>
      <c r="I489" s="31">
        <v>42</v>
      </c>
      <c r="J489" s="31">
        <f t="shared" si="30"/>
        <v>42</v>
      </c>
      <c r="K489" s="28">
        <v>498000</v>
      </c>
      <c r="L489" s="29">
        <v>0.45</v>
      </c>
      <c r="M489" s="31">
        <f t="shared" si="31"/>
        <v>224100</v>
      </c>
      <c r="N489" s="28">
        <f t="shared" si="32"/>
        <v>273900</v>
      </c>
    </row>
    <row r="490" spans="1:15" x14ac:dyDescent="0.35">
      <c r="A490">
        <v>730792</v>
      </c>
      <c r="B490" t="s">
        <v>1857</v>
      </c>
      <c r="C490" t="s">
        <v>449</v>
      </c>
      <c r="D490" t="s">
        <v>140</v>
      </c>
      <c r="E490" s="30" t="s">
        <v>14</v>
      </c>
      <c r="F490" s="31">
        <v>0</v>
      </c>
      <c r="G490" s="31">
        <v>0</v>
      </c>
      <c r="H490" s="31">
        <v>0</v>
      </c>
      <c r="I490" s="31">
        <v>4</v>
      </c>
      <c r="J490" s="31">
        <f t="shared" si="30"/>
        <v>4</v>
      </c>
      <c r="K490" s="28">
        <v>498000</v>
      </c>
      <c r="L490" s="29">
        <v>0.45</v>
      </c>
      <c r="M490" s="31">
        <f t="shared" si="31"/>
        <v>224100</v>
      </c>
      <c r="N490" s="28">
        <f t="shared" si="32"/>
        <v>273900</v>
      </c>
    </row>
    <row r="491" spans="1:15" x14ac:dyDescent="0.35">
      <c r="A491">
        <v>731578</v>
      </c>
      <c r="B491" t="s">
        <v>476</v>
      </c>
      <c r="C491" t="s">
        <v>449</v>
      </c>
      <c r="D491" t="s">
        <v>140</v>
      </c>
      <c r="E491" s="30" t="s">
        <v>14</v>
      </c>
      <c r="F491" s="31">
        <v>0</v>
      </c>
      <c r="G491" s="31">
        <v>0</v>
      </c>
      <c r="H491" s="31">
        <v>0</v>
      </c>
      <c r="I491" s="31">
        <v>1</v>
      </c>
      <c r="J491" s="31">
        <f t="shared" si="30"/>
        <v>1</v>
      </c>
      <c r="K491" s="28">
        <v>498000</v>
      </c>
      <c r="L491" s="29">
        <v>0.45</v>
      </c>
      <c r="M491" s="31">
        <f t="shared" si="31"/>
        <v>224100</v>
      </c>
      <c r="N491" s="28">
        <f t="shared" si="32"/>
        <v>273900</v>
      </c>
    </row>
    <row r="492" spans="1:15" x14ac:dyDescent="0.35">
      <c r="A492">
        <v>731579</v>
      </c>
      <c r="B492" t="s">
        <v>866</v>
      </c>
      <c r="C492" t="s">
        <v>449</v>
      </c>
      <c r="D492" t="s">
        <v>140</v>
      </c>
      <c r="E492" s="30" t="s">
        <v>14</v>
      </c>
      <c r="F492" s="31">
        <v>0</v>
      </c>
      <c r="G492" s="31">
        <v>0</v>
      </c>
      <c r="H492" s="31">
        <v>1</v>
      </c>
      <c r="I492" s="31">
        <v>18</v>
      </c>
      <c r="J492" s="31">
        <f t="shared" si="30"/>
        <v>19</v>
      </c>
      <c r="K492" s="28">
        <v>2198000</v>
      </c>
      <c r="L492" s="29">
        <v>0.45</v>
      </c>
      <c r="M492" s="31">
        <f t="shared" si="31"/>
        <v>989100</v>
      </c>
      <c r="N492" s="28">
        <f t="shared" si="32"/>
        <v>1208900</v>
      </c>
      <c r="O492" s="28">
        <v>1758400</v>
      </c>
    </row>
    <row r="493" spans="1:15" x14ac:dyDescent="0.35">
      <c r="A493">
        <v>731580</v>
      </c>
      <c r="B493" t="s">
        <v>867</v>
      </c>
      <c r="C493" t="s">
        <v>449</v>
      </c>
      <c r="D493" t="s">
        <v>140</v>
      </c>
      <c r="E493" s="30" t="s">
        <v>14</v>
      </c>
      <c r="F493" s="31">
        <v>0</v>
      </c>
      <c r="G493" s="31">
        <v>0</v>
      </c>
      <c r="H493" s="31">
        <v>0</v>
      </c>
      <c r="I493" s="31">
        <v>11</v>
      </c>
      <c r="J493" s="31">
        <f t="shared" si="30"/>
        <v>11</v>
      </c>
      <c r="K493" s="28">
        <v>2398000</v>
      </c>
      <c r="L493" s="29">
        <v>0.45</v>
      </c>
      <c r="M493" s="31">
        <f t="shared" si="31"/>
        <v>1079100</v>
      </c>
      <c r="N493" s="28">
        <f t="shared" si="32"/>
        <v>1318900</v>
      </c>
      <c r="O493" s="28">
        <v>1918400</v>
      </c>
    </row>
    <row r="494" spans="1:15" x14ac:dyDescent="0.35">
      <c r="A494">
        <v>731586</v>
      </c>
      <c r="B494" t="s">
        <v>868</v>
      </c>
      <c r="C494" t="s">
        <v>449</v>
      </c>
      <c r="D494" t="s">
        <v>140</v>
      </c>
      <c r="E494" s="30" t="s">
        <v>14</v>
      </c>
      <c r="F494" s="31">
        <v>0</v>
      </c>
      <c r="G494" s="31">
        <v>0</v>
      </c>
      <c r="H494" s="31">
        <v>0</v>
      </c>
      <c r="I494" s="31">
        <v>3</v>
      </c>
      <c r="J494" s="31">
        <f t="shared" si="30"/>
        <v>3</v>
      </c>
      <c r="K494" s="28">
        <v>1198000</v>
      </c>
      <c r="L494" s="29">
        <v>0.45</v>
      </c>
      <c r="M494" s="31">
        <f t="shared" si="31"/>
        <v>539100</v>
      </c>
      <c r="N494" s="28">
        <f t="shared" si="32"/>
        <v>658900</v>
      </c>
      <c r="O494" s="28">
        <v>958400</v>
      </c>
    </row>
    <row r="495" spans="1:15" x14ac:dyDescent="0.35">
      <c r="A495">
        <v>731587</v>
      </c>
      <c r="B495" t="s">
        <v>869</v>
      </c>
      <c r="C495" t="s">
        <v>449</v>
      </c>
      <c r="D495" t="s">
        <v>140</v>
      </c>
      <c r="E495" s="30" t="s">
        <v>14</v>
      </c>
      <c r="F495" s="31">
        <v>0</v>
      </c>
      <c r="G495" s="31">
        <v>0</v>
      </c>
      <c r="H495" s="31">
        <v>0</v>
      </c>
      <c r="I495" s="31">
        <v>11</v>
      </c>
      <c r="J495" s="31">
        <f t="shared" si="30"/>
        <v>11</v>
      </c>
      <c r="K495" s="28">
        <v>1198000</v>
      </c>
      <c r="L495" s="29">
        <v>0.45</v>
      </c>
      <c r="M495" s="31">
        <f t="shared" si="31"/>
        <v>539100</v>
      </c>
      <c r="N495" s="28">
        <f t="shared" si="32"/>
        <v>658900</v>
      </c>
      <c r="O495" s="28">
        <v>958400</v>
      </c>
    </row>
    <row r="496" spans="1:15" x14ac:dyDescent="0.35">
      <c r="A496">
        <v>731588</v>
      </c>
      <c r="B496" t="s">
        <v>870</v>
      </c>
      <c r="C496" t="s">
        <v>449</v>
      </c>
      <c r="D496" t="s">
        <v>140</v>
      </c>
      <c r="E496" s="30" t="s">
        <v>14</v>
      </c>
      <c r="F496" s="31">
        <v>0</v>
      </c>
      <c r="G496" s="31">
        <v>0</v>
      </c>
      <c r="H496" s="31">
        <v>1</v>
      </c>
      <c r="I496" s="31">
        <v>22</v>
      </c>
      <c r="J496" s="31">
        <f t="shared" si="30"/>
        <v>23</v>
      </c>
      <c r="K496" s="28">
        <v>1198000</v>
      </c>
      <c r="L496" s="29">
        <v>0.45</v>
      </c>
      <c r="M496" s="31">
        <f t="shared" si="31"/>
        <v>539100</v>
      </c>
      <c r="N496" s="28">
        <f t="shared" si="32"/>
        <v>658900</v>
      </c>
      <c r="O496" s="28">
        <v>958400</v>
      </c>
    </row>
    <row r="497" spans="1:15" x14ac:dyDescent="0.35">
      <c r="A497">
        <v>732336</v>
      </c>
      <c r="B497" t="s">
        <v>1858</v>
      </c>
      <c r="C497" t="s">
        <v>449</v>
      </c>
      <c r="D497" t="s">
        <v>140</v>
      </c>
      <c r="E497" s="30" t="s">
        <v>14</v>
      </c>
      <c r="F497" s="31">
        <v>0</v>
      </c>
      <c r="G497" s="31">
        <v>0</v>
      </c>
      <c r="H497" s="31">
        <v>1</v>
      </c>
      <c r="I497" s="31">
        <v>34</v>
      </c>
      <c r="J497" s="31">
        <f t="shared" si="30"/>
        <v>35</v>
      </c>
      <c r="K497" s="28">
        <v>398000</v>
      </c>
      <c r="L497" s="29">
        <v>0.17</v>
      </c>
      <c r="M497" s="31">
        <f t="shared" si="31"/>
        <v>67660</v>
      </c>
      <c r="N497" s="28">
        <f t="shared" si="32"/>
        <v>330340</v>
      </c>
    </row>
    <row r="498" spans="1:15" x14ac:dyDescent="0.35">
      <c r="A498">
        <v>732340</v>
      </c>
      <c r="B498" t="s">
        <v>1859</v>
      </c>
      <c r="C498" t="s">
        <v>449</v>
      </c>
      <c r="D498" t="s">
        <v>140</v>
      </c>
      <c r="E498" s="30">
        <v>0</v>
      </c>
      <c r="F498" s="31">
        <v>0</v>
      </c>
      <c r="G498" s="31">
        <v>0</v>
      </c>
      <c r="H498" s="31">
        <v>0</v>
      </c>
      <c r="I498" s="31">
        <v>10</v>
      </c>
      <c r="J498" s="31">
        <f t="shared" si="30"/>
        <v>10</v>
      </c>
      <c r="K498" s="28">
        <v>398000</v>
      </c>
      <c r="L498" s="29">
        <v>0.17</v>
      </c>
      <c r="M498" s="31">
        <f t="shared" si="31"/>
        <v>67660</v>
      </c>
      <c r="N498" s="28">
        <f t="shared" si="32"/>
        <v>330340</v>
      </c>
    </row>
    <row r="499" spans="1:15" x14ac:dyDescent="0.35">
      <c r="A499">
        <v>732341</v>
      </c>
      <c r="B499" t="s">
        <v>1860</v>
      </c>
      <c r="C499" t="s">
        <v>449</v>
      </c>
      <c r="D499" t="s">
        <v>140</v>
      </c>
      <c r="E499" s="30" t="s">
        <v>14</v>
      </c>
      <c r="F499" s="31">
        <v>0</v>
      </c>
      <c r="G499" s="31">
        <v>0</v>
      </c>
      <c r="H499" s="31">
        <v>0</v>
      </c>
      <c r="I499" s="31">
        <v>19</v>
      </c>
      <c r="J499" s="31">
        <f t="shared" si="30"/>
        <v>19</v>
      </c>
      <c r="K499" s="28">
        <v>398000</v>
      </c>
      <c r="L499" s="29">
        <v>0.17</v>
      </c>
      <c r="M499" s="31">
        <f t="shared" si="31"/>
        <v>67660</v>
      </c>
      <c r="N499" s="28">
        <f t="shared" si="32"/>
        <v>330340</v>
      </c>
    </row>
    <row r="500" spans="1:15" x14ac:dyDescent="0.35">
      <c r="A500">
        <v>732342</v>
      </c>
      <c r="B500" t="s">
        <v>1861</v>
      </c>
      <c r="C500" t="s">
        <v>449</v>
      </c>
      <c r="D500" t="s">
        <v>140</v>
      </c>
      <c r="E500" s="30" t="s">
        <v>14</v>
      </c>
      <c r="F500" s="31">
        <v>0</v>
      </c>
      <c r="G500" s="31">
        <v>0</v>
      </c>
      <c r="H500" s="31">
        <v>0</v>
      </c>
      <c r="I500" s="31">
        <v>2</v>
      </c>
      <c r="J500" s="31">
        <f t="shared" si="30"/>
        <v>2</v>
      </c>
      <c r="K500" s="28">
        <v>398000</v>
      </c>
      <c r="L500" s="29">
        <v>0.17</v>
      </c>
      <c r="M500" s="31">
        <f t="shared" si="31"/>
        <v>67660</v>
      </c>
      <c r="N500" s="28">
        <f t="shared" si="32"/>
        <v>330340</v>
      </c>
    </row>
    <row r="501" spans="1:15" x14ac:dyDescent="0.35">
      <c r="A501">
        <v>733296</v>
      </c>
      <c r="B501" t="s">
        <v>477</v>
      </c>
      <c r="C501" t="s">
        <v>449</v>
      </c>
      <c r="D501" t="s">
        <v>140</v>
      </c>
      <c r="E501" s="30">
        <v>0</v>
      </c>
      <c r="F501" s="31">
        <v>0</v>
      </c>
      <c r="G501" s="31">
        <v>0</v>
      </c>
      <c r="H501" s="31">
        <v>0</v>
      </c>
      <c r="I501" s="31">
        <v>2</v>
      </c>
      <c r="J501" s="31">
        <f t="shared" si="30"/>
        <v>2</v>
      </c>
      <c r="K501" s="28">
        <v>898000</v>
      </c>
      <c r="L501" s="29">
        <v>0.45</v>
      </c>
      <c r="M501" s="31">
        <f t="shared" si="31"/>
        <v>404100</v>
      </c>
      <c r="N501" s="28">
        <f t="shared" si="32"/>
        <v>493900.00000000006</v>
      </c>
    </row>
    <row r="502" spans="1:15" x14ac:dyDescent="0.35">
      <c r="A502">
        <v>733297</v>
      </c>
      <c r="B502" t="s">
        <v>478</v>
      </c>
      <c r="C502" t="s">
        <v>449</v>
      </c>
      <c r="D502" t="s">
        <v>140</v>
      </c>
      <c r="E502" s="30">
        <v>0</v>
      </c>
      <c r="F502" s="31">
        <v>0</v>
      </c>
      <c r="G502" s="31">
        <v>0</v>
      </c>
      <c r="H502" s="31">
        <v>0</v>
      </c>
      <c r="I502" s="31">
        <v>1</v>
      </c>
      <c r="J502" s="31">
        <f t="shared" si="30"/>
        <v>1</v>
      </c>
      <c r="K502" s="28">
        <v>898000</v>
      </c>
      <c r="L502" s="29">
        <v>0.45</v>
      </c>
      <c r="M502" s="31">
        <f t="shared" si="31"/>
        <v>404100</v>
      </c>
      <c r="N502" s="28">
        <f t="shared" si="32"/>
        <v>493900.00000000006</v>
      </c>
    </row>
    <row r="503" spans="1:15" x14ac:dyDescent="0.35">
      <c r="A503">
        <v>733298</v>
      </c>
      <c r="B503" t="s">
        <v>479</v>
      </c>
      <c r="C503" t="s">
        <v>449</v>
      </c>
      <c r="D503" t="s">
        <v>140</v>
      </c>
      <c r="E503" s="30" t="s">
        <v>14</v>
      </c>
      <c r="F503" s="31">
        <v>0</v>
      </c>
      <c r="G503" s="31">
        <v>0</v>
      </c>
      <c r="H503" s="31">
        <v>0</v>
      </c>
      <c r="I503" s="31">
        <v>1</v>
      </c>
      <c r="J503" s="31">
        <f t="shared" si="30"/>
        <v>1</v>
      </c>
      <c r="K503" s="28">
        <v>748000</v>
      </c>
      <c r="L503" s="29">
        <v>0.45</v>
      </c>
      <c r="M503" s="31">
        <f t="shared" si="31"/>
        <v>336600</v>
      </c>
      <c r="N503" s="28">
        <f t="shared" si="32"/>
        <v>411400.00000000006</v>
      </c>
    </row>
    <row r="504" spans="1:15" x14ac:dyDescent="0.35">
      <c r="A504">
        <v>733301</v>
      </c>
      <c r="B504" t="s">
        <v>871</v>
      </c>
      <c r="C504" t="s">
        <v>449</v>
      </c>
      <c r="D504" t="s">
        <v>140</v>
      </c>
      <c r="E504" s="30" t="s">
        <v>14</v>
      </c>
      <c r="F504" s="31">
        <v>0</v>
      </c>
      <c r="G504" s="31">
        <v>0</v>
      </c>
      <c r="H504" s="31">
        <v>0</v>
      </c>
      <c r="I504" s="31">
        <v>5</v>
      </c>
      <c r="J504" s="31">
        <f t="shared" si="30"/>
        <v>5</v>
      </c>
      <c r="K504" s="28">
        <v>1248000</v>
      </c>
      <c r="L504" s="29">
        <v>0.45</v>
      </c>
      <c r="M504" s="31">
        <f t="shared" si="31"/>
        <v>561600</v>
      </c>
      <c r="N504" s="28">
        <f t="shared" si="32"/>
        <v>686400</v>
      </c>
      <c r="O504" s="28">
        <v>998400</v>
      </c>
    </row>
    <row r="505" spans="1:15" x14ac:dyDescent="0.35">
      <c r="A505">
        <v>733984</v>
      </c>
      <c r="B505" t="s">
        <v>872</v>
      </c>
      <c r="C505" t="s">
        <v>449</v>
      </c>
      <c r="D505" t="s">
        <v>140</v>
      </c>
      <c r="E505" s="30" t="s">
        <v>14</v>
      </c>
      <c r="F505" s="31">
        <v>0</v>
      </c>
      <c r="G505" s="31">
        <v>0</v>
      </c>
      <c r="H505" s="31">
        <v>0</v>
      </c>
      <c r="I505" s="31">
        <v>1</v>
      </c>
      <c r="J505" s="31">
        <f t="shared" si="30"/>
        <v>1</v>
      </c>
      <c r="K505" s="28">
        <v>3698000</v>
      </c>
      <c r="L505" s="29">
        <v>0.45</v>
      </c>
      <c r="M505" s="31">
        <f t="shared" si="31"/>
        <v>1664100</v>
      </c>
      <c r="N505" s="28">
        <f t="shared" si="32"/>
        <v>2033900.0000000002</v>
      </c>
      <c r="O505" s="28">
        <v>2958400</v>
      </c>
    </row>
    <row r="506" spans="1:15" x14ac:dyDescent="0.35">
      <c r="A506">
        <v>733985</v>
      </c>
      <c r="B506" t="s">
        <v>873</v>
      </c>
      <c r="C506" t="s">
        <v>449</v>
      </c>
      <c r="D506" t="s">
        <v>140</v>
      </c>
      <c r="E506" s="30" t="s">
        <v>14</v>
      </c>
      <c r="F506" s="31">
        <v>0</v>
      </c>
      <c r="G506" s="31">
        <v>0</v>
      </c>
      <c r="H506" s="31">
        <v>0</v>
      </c>
      <c r="I506" s="31">
        <v>4</v>
      </c>
      <c r="J506" s="31">
        <f t="shared" si="30"/>
        <v>4</v>
      </c>
      <c r="K506" s="28">
        <v>3698000</v>
      </c>
      <c r="L506" s="29">
        <v>0.45</v>
      </c>
      <c r="M506" s="31">
        <f t="shared" si="31"/>
        <v>1664100</v>
      </c>
      <c r="N506" s="28">
        <f t="shared" si="32"/>
        <v>2033900.0000000002</v>
      </c>
      <c r="O506" s="28">
        <v>2958400</v>
      </c>
    </row>
    <row r="507" spans="1:15" x14ac:dyDescent="0.35">
      <c r="A507">
        <v>733986</v>
      </c>
      <c r="B507" t="s">
        <v>874</v>
      </c>
      <c r="C507" t="s">
        <v>449</v>
      </c>
      <c r="D507" t="s">
        <v>140</v>
      </c>
      <c r="E507" s="30" t="s">
        <v>14</v>
      </c>
      <c r="F507" s="31">
        <v>0</v>
      </c>
      <c r="G507" s="31">
        <v>0</v>
      </c>
      <c r="H507" s="31">
        <v>0</v>
      </c>
      <c r="I507" s="31">
        <v>12</v>
      </c>
      <c r="J507" s="31">
        <f t="shared" si="30"/>
        <v>12</v>
      </c>
      <c r="K507" s="28">
        <v>3698000</v>
      </c>
      <c r="L507" s="29">
        <v>0.45</v>
      </c>
      <c r="M507" s="31">
        <f t="shared" si="31"/>
        <v>1664100</v>
      </c>
      <c r="N507" s="28">
        <f t="shared" si="32"/>
        <v>2033900.0000000002</v>
      </c>
      <c r="O507" s="28">
        <v>2958400</v>
      </c>
    </row>
    <row r="508" spans="1:15" x14ac:dyDescent="0.35">
      <c r="A508">
        <v>733988</v>
      </c>
      <c r="B508" t="s">
        <v>480</v>
      </c>
      <c r="C508" t="s">
        <v>449</v>
      </c>
      <c r="D508" t="s">
        <v>140</v>
      </c>
      <c r="E508" s="30" t="s">
        <v>14</v>
      </c>
      <c r="F508" s="31">
        <v>0</v>
      </c>
      <c r="G508" s="31">
        <v>0</v>
      </c>
      <c r="H508" s="31">
        <v>0</v>
      </c>
      <c r="I508" s="31">
        <v>2</v>
      </c>
      <c r="J508" s="31">
        <f t="shared" si="30"/>
        <v>2</v>
      </c>
      <c r="K508" s="28">
        <v>3698000</v>
      </c>
      <c r="L508" s="29">
        <v>0.45</v>
      </c>
      <c r="M508" s="31">
        <f t="shared" si="31"/>
        <v>1664100</v>
      </c>
      <c r="N508" s="28">
        <f t="shared" si="32"/>
        <v>2033900.0000000002</v>
      </c>
      <c r="O508" s="28">
        <v>2958400</v>
      </c>
    </row>
    <row r="509" spans="1:15" x14ac:dyDescent="0.35">
      <c r="A509">
        <v>733989</v>
      </c>
      <c r="B509" t="s">
        <v>481</v>
      </c>
      <c r="C509" t="s">
        <v>449</v>
      </c>
      <c r="D509" t="s">
        <v>140</v>
      </c>
      <c r="E509" s="30" t="s">
        <v>14</v>
      </c>
      <c r="F509" s="31">
        <v>0</v>
      </c>
      <c r="G509" s="31">
        <v>0</v>
      </c>
      <c r="H509" s="31">
        <v>0</v>
      </c>
      <c r="I509" s="31">
        <v>7</v>
      </c>
      <c r="J509" s="31">
        <f t="shared" si="30"/>
        <v>7</v>
      </c>
      <c r="K509" s="28">
        <v>3698000</v>
      </c>
      <c r="L509" s="29">
        <v>0.45</v>
      </c>
      <c r="M509" s="31">
        <f t="shared" si="31"/>
        <v>1664100</v>
      </c>
      <c r="N509" s="28">
        <f t="shared" si="32"/>
        <v>2033900.0000000002</v>
      </c>
      <c r="O509" s="28">
        <v>2958400</v>
      </c>
    </row>
    <row r="510" spans="1:15" x14ac:dyDescent="0.35">
      <c r="A510">
        <v>727802</v>
      </c>
      <c r="B510" t="s">
        <v>875</v>
      </c>
      <c r="C510" t="s">
        <v>820</v>
      </c>
      <c r="D510" t="s">
        <v>140</v>
      </c>
      <c r="E510" s="30" t="s">
        <v>14</v>
      </c>
      <c r="F510" s="31">
        <v>0</v>
      </c>
      <c r="G510" s="31">
        <v>0</v>
      </c>
      <c r="H510" s="31">
        <v>0</v>
      </c>
      <c r="I510" s="31">
        <v>4</v>
      </c>
      <c r="J510" s="31">
        <f t="shared" si="30"/>
        <v>4</v>
      </c>
      <c r="K510" s="28">
        <v>1298000</v>
      </c>
      <c r="L510" s="29">
        <v>0.81</v>
      </c>
      <c r="M510" s="31">
        <f t="shared" si="31"/>
        <v>1051380</v>
      </c>
      <c r="N510" s="28">
        <f t="shared" si="32"/>
        <v>246619.99999999994</v>
      </c>
      <c r="O510" s="28">
        <v>649000</v>
      </c>
    </row>
    <row r="511" spans="1:15" x14ac:dyDescent="0.35">
      <c r="A511">
        <v>727804</v>
      </c>
      <c r="B511" t="s">
        <v>876</v>
      </c>
      <c r="C511" t="s">
        <v>820</v>
      </c>
      <c r="D511" t="s">
        <v>140</v>
      </c>
      <c r="E511" s="30" t="s">
        <v>14</v>
      </c>
      <c r="F511" s="31">
        <v>0</v>
      </c>
      <c r="G511" s="31">
        <v>0</v>
      </c>
      <c r="H511" s="31">
        <v>0</v>
      </c>
      <c r="I511" s="31">
        <v>12</v>
      </c>
      <c r="J511" s="31">
        <f t="shared" si="30"/>
        <v>12</v>
      </c>
      <c r="K511" s="28">
        <v>898000</v>
      </c>
      <c r="L511" s="29">
        <v>0.81</v>
      </c>
      <c r="M511" s="31">
        <f t="shared" si="31"/>
        <v>727380</v>
      </c>
      <c r="N511" s="28">
        <f t="shared" si="32"/>
        <v>170619.99999999994</v>
      </c>
      <c r="O511" s="28">
        <v>449000</v>
      </c>
    </row>
    <row r="512" spans="1:15" x14ac:dyDescent="0.35">
      <c r="A512">
        <v>727805</v>
      </c>
      <c r="B512" t="s">
        <v>877</v>
      </c>
      <c r="C512" t="s">
        <v>820</v>
      </c>
      <c r="D512" t="s">
        <v>140</v>
      </c>
      <c r="E512" s="30" t="s">
        <v>14</v>
      </c>
      <c r="F512" s="31">
        <v>0</v>
      </c>
      <c r="G512" s="31">
        <v>0</v>
      </c>
      <c r="H512" s="31">
        <v>0</v>
      </c>
      <c r="I512" s="31">
        <v>2</v>
      </c>
      <c r="J512" s="31">
        <f t="shared" si="30"/>
        <v>2</v>
      </c>
      <c r="K512" s="28">
        <v>898000</v>
      </c>
      <c r="L512" s="29">
        <v>0.81</v>
      </c>
      <c r="M512" s="31">
        <f t="shared" si="31"/>
        <v>727380</v>
      </c>
      <c r="N512" s="28">
        <f t="shared" si="32"/>
        <v>170619.99999999994</v>
      </c>
      <c r="O512" s="28">
        <v>449000</v>
      </c>
    </row>
    <row r="513" spans="1:15" x14ac:dyDescent="0.35">
      <c r="A513">
        <v>727807</v>
      </c>
      <c r="B513" t="s">
        <v>878</v>
      </c>
      <c r="C513" t="s">
        <v>820</v>
      </c>
      <c r="D513" t="s">
        <v>140</v>
      </c>
      <c r="E513" s="30" t="s">
        <v>14</v>
      </c>
      <c r="F513" s="31">
        <v>0</v>
      </c>
      <c r="G513" s="31">
        <v>0</v>
      </c>
      <c r="H513" s="31">
        <v>0</v>
      </c>
      <c r="I513" s="31">
        <v>5</v>
      </c>
      <c r="J513" s="31">
        <f t="shared" si="30"/>
        <v>5</v>
      </c>
      <c r="K513" s="28">
        <v>898000</v>
      </c>
      <c r="L513" s="29">
        <v>0.81</v>
      </c>
      <c r="M513" s="31">
        <f t="shared" si="31"/>
        <v>727380</v>
      </c>
      <c r="N513" s="28">
        <f t="shared" si="32"/>
        <v>170619.99999999994</v>
      </c>
      <c r="O513" s="28">
        <v>449000</v>
      </c>
    </row>
    <row r="514" spans="1:15" x14ac:dyDescent="0.35">
      <c r="A514">
        <v>729353</v>
      </c>
      <c r="B514" t="s">
        <v>879</v>
      </c>
      <c r="C514" t="s">
        <v>820</v>
      </c>
      <c r="D514" t="s">
        <v>140</v>
      </c>
      <c r="E514" s="30" t="s">
        <v>14</v>
      </c>
      <c r="F514" s="31">
        <v>0</v>
      </c>
      <c r="G514" s="31">
        <v>0</v>
      </c>
      <c r="H514" s="31">
        <v>0</v>
      </c>
      <c r="I514" s="31">
        <v>1</v>
      </c>
      <c r="J514" s="31">
        <f t="shared" si="30"/>
        <v>1</v>
      </c>
      <c r="K514" s="28">
        <v>1148000</v>
      </c>
      <c r="L514" s="29">
        <v>0.81</v>
      </c>
      <c r="M514" s="31">
        <f t="shared" si="31"/>
        <v>929880.00000000012</v>
      </c>
      <c r="N514" s="28">
        <f t="shared" si="32"/>
        <v>218119.99999999994</v>
      </c>
      <c r="O514" s="28">
        <v>574000</v>
      </c>
    </row>
    <row r="515" spans="1:15" x14ac:dyDescent="0.35">
      <c r="A515">
        <v>729355</v>
      </c>
      <c r="B515" t="s">
        <v>880</v>
      </c>
      <c r="C515" t="s">
        <v>820</v>
      </c>
      <c r="D515" t="s">
        <v>140</v>
      </c>
      <c r="E515" s="30" t="s">
        <v>14</v>
      </c>
      <c r="F515" s="31">
        <v>0</v>
      </c>
      <c r="G515" s="31">
        <v>0</v>
      </c>
      <c r="H515" s="31">
        <v>2</v>
      </c>
      <c r="I515" s="31">
        <v>3</v>
      </c>
      <c r="J515" s="31">
        <f t="shared" si="30"/>
        <v>5</v>
      </c>
      <c r="K515" s="28">
        <v>1148000</v>
      </c>
      <c r="L515" s="29">
        <v>0.81</v>
      </c>
      <c r="M515" s="31">
        <f t="shared" si="31"/>
        <v>929880.00000000012</v>
      </c>
      <c r="N515" s="28">
        <f t="shared" ref="N515:N529" si="33">K515*(1-L515)</f>
        <v>218119.99999999994</v>
      </c>
      <c r="O515" s="28">
        <v>574000</v>
      </c>
    </row>
    <row r="516" spans="1:15" x14ac:dyDescent="0.35">
      <c r="A516">
        <v>729362</v>
      </c>
      <c r="B516" t="s">
        <v>1862</v>
      </c>
      <c r="C516" t="s">
        <v>820</v>
      </c>
      <c r="D516" t="s">
        <v>140</v>
      </c>
      <c r="E516" s="30" t="s">
        <v>14</v>
      </c>
      <c r="F516" s="31">
        <v>0</v>
      </c>
      <c r="G516" s="31">
        <v>0</v>
      </c>
      <c r="H516" s="31">
        <v>1</v>
      </c>
      <c r="I516" s="31">
        <v>0</v>
      </c>
      <c r="J516" s="31">
        <f t="shared" ref="J516:J579" si="34">SUM(F516:I516)</f>
        <v>1</v>
      </c>
      <c r="K516" s="28">
        <v>1298000</v>
      </c>
      <c r="L516" s="29">
        <v>0.81</v>
      </c>
      <c r="M516" s="31">
        <f t="shared" ref="M516:M579" si="35">K516*L516</f>
        <v>1051380</v>
      </c>
      <c r="N516" s="28">
        <f t="shared" si="33"/>
        <v>246619.99999999994</v>
      </c>
      <c r="O516" s="28">
        <v>649000</v>
      </c>
    </row>
    <row r="517" spans="1:15" x14ac:dyDescent="0.35">
      <c r="A517">
        <v>734747</v>
      </c>
      <c r="B517" t="s">
        <v>882</v>
      </c>
      <c r="C517" t="s">
        <v>820</v>
      </c>
      <c r="D517" t="s">
        <v>140</v>
      </c>
      <c r="E517" s="30" t="s">
        <v>14</v>
      </c>
      <c r="F517" s="31">
        <v>0</v>
      </c>
      <c r="G517" s="31">
        <v>0</v>
      </c>
      <c r="H517" s="31">
        <v>0</v>
      </c>
      <c r="I517" s="31">
        <v>1</v>
      </c>
      <c r="J517" s="31">
        <f t="shared" si="34"/>
        <v>1</v>
      </c>
      <c r="K517" s="28">
        <v>1148000</v>
      </c>
      <c r="L517" s="29">
        <v>0.81</v>
      </c>
      <c r="M517" s="31">
        <f t="shared" si="35"/>
        <v>929880.00000000012</v>
      </c>
      <c r="N517" s="28">
        <f t="shared" si="33"/>
        <v>218119.99999999994</v>
      </c>
      <c r="O517" s="28">
        <v>574000</v>
      </c>
    </row>
    <row r="518" spans="1:15" x14ac:dyDescent="0.35">
      <c r="A518">
        <v>734750</v>
      </c>
      <c r="B518" t="s">
        <v>883</v>
      </c>
      <c r="C518" t="s">
        <v>820</v>
      </c>
      <c r="D518" t="s">
        <v>140</v>
      </c>
      <c r="E518" s="30" t="s">
        <v>14</v>
      </c>
      <c r="F518" s="31">
        <v>0</v>
      </c>
      <c r="G518" s="31">
        <v>0</v>
      </c>
      <c r="H518" s="31">
        <v>1</v>
      </c>
      <c r="I518" s="31">
        <v>9</v>
      </c>
      <c r="J518" s="31">
        <f t="shared" si="34"/>
        <v>10</v>
      </c>
      <c r="K518" s="28">
        <v>1148000</v>
      </c>
      <c r="L518" s="29">
        <v>0.81</v>
      </c>
      <c r="M518" s="31">
        <f t="shared" si="35"/>
        <v>929880.00000000012</v>
      </c>
      <c r="N518" s="28">
        <f t="shared" si="33"/>
        <v>218119.99999999994</v>
      </c>
      <c r="O518" s="28">
        <v>574000</v>
      </c>
    </row>
    <row r="519" spans="1:15" x14ac:dyDescent="0.35">
      <c r="A519">
        <v>734755</v>
      </c>
      <c r="B519" t="s">
        <v>884</v>
      </c>
      <c r="C519" t="s">
        <v>820</v>
      </c>
      <c r="D519" t="s">
        <v>140</v>
      </c>
      <c r="E519" s="30" t="s">
        <v>14</v>
      </c>
      <c r="F519" s="31">
        <v>0</v>
      </c>
      <c r="G519" s="31">
        <v>0</v>
      </c>
      <c r="H519" s="31">
        <v>3</v>
      </c>
      <c r="I519" s="31">
        <v>13</v>
      </c>
      <c r="J519" s="31">
        <f t="shared" si="34"/>
        <v>16</v>
      </c>
      <c r="K519" s="28">
        <v>1148000</v>
      </c>
      <c r="L519" s="29">
        <v>0.81</v>
      </c>
      <c r="M519" s="31">
        <f t="shared" si="35"/>
        <v>929880.00000000012</v>
      </c>
      <c r="N519" s="28">
        <f t="shared" si="33"/>
        <v>218119.99999999994</v>
      </c>
      <c r="O519" s="28">
        <v>574000</v>
      </c>
    </row>
    <row r="520" spans="1:15" x14ac:dyDescent="0.35">
      <c r="A520">
        <v>734761</v>
      </c>
      <c r="B520" t="s">
        <v>885</v>
      </c>
      <c r="C520" t="s">
        <v>820</v>
      </c>
      <c r="D520" t="s">
        <v>140</v>
      </c>
      <c r="E520" s="30" t="s">
        <v>14</v>
      </c>
      <c r="F520" s="31">
        <v>0</v>
      </c>
      <c r="G520" s="31">
        <v>0</v>
      </c>
      <c r="H520" s="31">
        <v>0</v>
      </c>
      <c r="I520" s="31">
        <v>3</v>
      </c>
      <c r="J520" s="31">
        <f t="shared" si="34"/>
        <v>3</v>
      </c>
      <c r="K520" s="28">
        <v>1148000</v>
      </c>
      <c r="L520" s="29">
        <v>0.81</v>
      </c>
      <c r="M520" s="31">
        <f t="shared" si="35"/>
        <v>929880.00000000012</v>
      </c>
      <c r="N520" s="28">
        <f t="shared" si="33"/>
        <v>218119.99999999994</v>
      </c>
      <c r="O520" s="28">
        <v>574000</v>
      </c>
    </row>
    <row r="521" spans="1:15" x14ac:dyDescent="0.35">
      <c r="A521">
        <v>734764</v>
      </c>
      <c r="B521" t="s">
        <v>886</v>
      </c>
      <c r="C521" t="s">
        <v>820</v>
      </c>
      <c r="D521" t="s">
        <v>140</v>
      </c>
      <c r="E521" s="30" t="s">
        <v>14</v>
      </c>
      <c r="F521" s="31">
        <v>0</v>
      </c>
      <c r="G521" s="31">
        <v>0</v>
      </c>
      <c r="H521" s="31">
        <v>0</v>
      </c>
      <c r="I521" s="31">
        <v>4</v>
      </c>
      <c r="J521" s="31">
        <f t="shared" si="34"/>
        <v>4</v>
      </c>
      <c r="K521" s="28">
        <v>1148000</v>
      </c>
      <c r="L521" s="29">
        <v>0.81</v>
      </c>
      <c r="M521" s="31">
        <f t="shared" si="35"/>
        <v>929880.00000000012</v>
      </c>
      <c r="N521" s="28">
        <f t="shared" si="33"/>
        <v>218119.99999999994</v>
      </c>
      <c r="O521" s="28">
        <v>574000</v>
      </c>
    </row>
    <row r="522" spans="1:15" x14ac:dyDescent="0.35">
      <c r="A522">
        <v>734775</v>
      </c>
      <c r="B522" t="s">
        <v>887</v>
      </c>
      <c r="C522" t="s">
        <v>820</v>
      </c>
      <c r="D522" t="s">
        <v>140</v>
      </c>
      <c r="E522" s="30" t="s">
        <v>14</v>
      </c>
      <c r="F522" s="31">
        <v>0</v>
      </c>
      <c r="G522" s="31">
        <v>0</v>
      </c>
      <c r="H522" s="31">
        <v>0</v>
      </c>
      <c r="I522" s="31">
        <v>11</v>
      </c>
      <c r="J522" s="31">
        <f t="shared" si="34"/>
        <v>11</v>
      </c>
      <c r="K522" s="28">
        <v>898000</v>
      </c>
      <c r="L522" s="29">
        <v>0.81</v>
      </c>
      <c r="M522" s="31">
        <f t="shared" si="35"/>
        <v>727380</v>
      </c>
      <c r="N522" s="28">
        <f t="shared" si="33"/>
        <v>170619.99999999994</v>
      </c>
      <c r="O522" s="28">
        <v>449000</v>
      </c>
    </row>
    <row r="523" spans="1:15" x14ac:dyDescent="0.35">
      <c r="A523">
        <v>734781</v>
      </c>
      <c r="B523" t="s">
        <v>889</v>
      </c>
      <c r="C523" t="s">
        <v>820</v>
      </c>
      <c r="D523" t="s">
        <v>140</v>
      </c>
      <c r="E523" s="30" t="s">
        <v>14</v>
      </c>
      <c r="F523" s="31">
        <v>0</v>
      </c>
      <c r="G523" s="31">
        <v>0</v>
      </c>
      <c r="H523" s="31">
        <v>0</v>
      </c>
      <c r="I523" s="31">
        <v>1</v>
      </c>
      <c r="J523" s="31">
        <f t="shared" si="34"/>
        <v>1</v>
      </c>
      <c r="K523" s="28">
        <v>898000</v>
      </c>
      <c r="L523" s="29">
        <v>0.81</v>
      </c>
      <c r="M523" s="31">
        <f t="shared" si="35"/>
        <v>727380</v>
      </c>
      <c r="N523" s="28">
        <f t="shared" si="33"/>
        <v>170619.99999999994</v>
      </c>
      <c r="O523" s="28">
        <v>449000</v>
      </c>
    </row>
    <row r="524" spans="1:15" x14ac:dyDescent="0.35">
      <c r="A524">
        <v>734786</v>
      </c>
      <c r="B524" t="s">
        <v>890</v>
      </c>
      <c r="C524" t="s">
        <v>820</v>
      </c>
      <c r="D524" t="s">
        <v>140</v>
      </c>
      <c r="E524" s="30" t="s">
        <v>14</v>
      </c>
      <c r="F524" s="31">
        <v>0</v>
      </c>
      <c r="G524" s="31">
        <v>0</v>
      </c>
      <c r="H524" s="31">
        <v>0</v>
      </c>
      <c r="I524" s="31">
        <v>5</v>
      </c>
      <c r="J524" s="31">
        <f t="shared" si="34"/>
        <v>5</v>
      </c>
      <c r="K524" s="28">
        <v>428000</v>
      </c>
      <c r="L524" s="29">
        <v>0.81</v>
      </c>
      <c r="M524" s="31">
        <f t="shared" si="35"/>
        <v>346680</v>
      </c>
      <c r="N524" s="28">
        <f t="shared" si="33"/>
        <v>81319.999999999971</v>
      </c>
      <c r="O524" s="28">
        <v>214000</v>
      </c>
    </row>
    <row r="525" spans="1:15" x14ac:dyDescent="0.35">
      <c r="A525">
        <v>734789</v>
      </c>
      <c r="B525" t="s">
        <v>891</v>
      </c>
      <c r="C525" t="s">
        <v>820</v>
      </c>
      <c r="D525" t="s">
        <v>140</v>
      </c>
      <c r="E525" s="30" t="s">
        <v>14</v>
      </c>
      <c r="F525" s="31">
        <v>0</v>
      </c>
      <c r="G525" s="31">
        <v>0</v>
      </c>
      <c r="H525" s="31">
        <v>0</v>
      </c>
      <c r="I525" s="31">
        <v>15</v>
      </c>
      <c r="J525" s="31">
        <f t="shared" si="34"/>
        <v>15</v>
      </c>
      <c r="K525" s="28">
        <v>698000</v>
      </c>
      <c r="L525" s="29">
        <v>0.81</v>
      </c>
      <c r="M525" s="31">
        <f t="shared" si="35"/>
        <v>565380</v>
      </c>
      <c r="N525" s="28">
        <f t="shared" si="33"/>
        <v>132619.99999999997</v>
      </c>
      <c r="O525" s="28">
        <v>349000</v>
      </c>
    </row>
    <row r="526" spans="1:15" x14ac:dyDescent="0.35">
      <c r="A526">
        <v>734790</v>
      </c>
      <c r="B526" t="s">
        <v>892</v>
      </c>
      <c r="C526" t="s">
        <v>820</v>
      </c>
      <c r="D526" t="s">
        <v>140</v>
      </c>
      <c r="E526" s="30" t="s">
        <v>14</v>
      </c>
      <c r="F526" s="31">
        <v>0</v>
      </c>
      <c r="G526" s="31">
        <v>0</v>
      </c>
      <c r="H526" s="31">
        <v>0</v>
      </c>
      <c r="I526" s="31">
        <v>7</v>
      </c>
      <c r="J526" s="31">
        <f t="shared" si="34"/>
        <v>7</v>
      </c>
      <c r="K526" s="28">
        <v>628000</v>
      </c>
      <c r="L526" s="29">
        <v>0.81</v>
      </c>
      <c r="M526" s="31">
        <f t="shared" si="35"/>
        <v>508680.00000000006</v>
      </c>
      <c r="N526" s="28">
        <f t="shared" si="33"/>
        <v>119319.99999999997</v>
      </c>
      <c r="O526" s="28">
        <v>314000</v>
      </c>
    </row>
    <row r="527" spans="1:15" x14ac:dyDescent="0.35">
      <c r="A527">
        <v>734801</v>
      </c>
      <c r="B527" t="s">
        <v>893</v>
      </c>
      <c r="C527" t="s">
        <v>820</v>
      </c>
      <c r="D527" t="s">
        <v>140</v>
      </c>
      <c r="E527" s="30" t="s">
        <v>14</v>
      </c>
      <c r="F527" s="31">
        <v>0</v>
      </c>
      <c r="G527" s="31">
        <v>0</v>
      </c>
      <c r="H527" s="31">
        <v>0</v>
      </c>
      <c r="I527" s="31">
        <v>14</v>
      </c>
      <c r="J527" s="31">
        <f t="shared" si="34"/>
        <v>14</v>
      </c>
      <c r="K527" s="28">
        <v>798000</v>
      </c>
      <c r="L527" s="29">
        <v>0.81</v>
      </c>
      <c r="M527" s="31">
        <f t="shared" si="35"/>
        <v>646380</v>
      </c>
      <c r="N527" s="28">
        <f t="shared" si="33"/>
        <v>151619.99999999997</v>
      </c>
      <c r="O527" s="28">
        <v>399000</v>
      </c>
    </row>
    <row r="528" spans="1:15" x14ac:dyDescent="0.35">
      <c r="A528">
        <v>734804</v>
      </c>
      <c r="B528" t="s">
        <v>894</v>
      </c>
      <c r="C528" t="s">
        <v>820</v>
      </c>
      <c r="D528" t="s">
        <v>140</v>
      </c>
      <c r="E528" s="30" t="s">
        <v>14</v>
      </c>
      <c r="F528" s="31">
        <v>0</v>
      </c>
      <c r="G528" s="31">
        <v>0</v>
      </c>
      <c r="H528" s="31">
        <v>0</v>
      </c>
      <c r="I528" s="31">
        <v>2</v>
      </c>
      <c r="J528" s="31">
        <f t="shared" si="34"/>
        <v>2</v>
      </c>
      <c r="K528" s="28">
        <v>798000</v>
      </c>
      <c r="L528" s="29">
        <v>0.81</v>
      </c>
      <c r="M528" s="31">
        <f t="shared" si="35"/>
        <v>646380</v>
      </c>
      <c r="N528" s="28">
        <f t="shared" si="33"/>
        <v>151619.99999999997</v>
      </c>
      <c r="O528" s="28">
        <v>399000</v>
      </c>
    </row>
    <row r="529" spans="1:15" x14ac:dyDescent="0.35">
      <c r="A529">
        <v>734805</v>
      </c>
      <c r="B529" t="s">
        <v>895</v>
      </c>
      <c r="C529" t="s">
        <v>820</v>
      </c>
      <c r="D529" t="s">
        <v>140</v>
      </c>
      <c r="E529" s="30" t="s">
        <v>14</v>
      </c>
      <c r="F529" s="31">
        <v>0</v>
      </c>
      <c r="G529" s="31">
        <v>0</v>
      </c>
      <c r="H529" s="31">
        <v>0</v>
      </c>
      <c r="I529" s="31">
        <v>1</v>
      </c>
      <c r="J529" s="31">
        <f t="shared" si="34"/>
        <v>1</v>
      </c>
      <c r="K529" s="28">
        <v>798000</v>
      </c>
      <c r="L529" s="29">
        <v>0.81</v>
      </c>
      <c r="M529" s="31">
        <f t="shared" si="35"/>
        <v>646380</v>
      </c>
      <c r="N529" s="28">
        <f t="shared" si="33"/>
        <v>151619.99999999997</v>
      </c>
      <c r="O529" s="28">
        <v>399000</v>
      </c>
    </row>
    <row r="530" spans="1:15" x14ac:dyDescent="0.35">
      <c r="A530">
        <v>702575</v>
      </c>
      <c r="B530" t="s">
        <v>896</v>
      </c>
      <c r="C530" t="s">
        <v>897</v>
      </c>
      <c r="D530" t="s">
        <v>898</v>
      </c>
      <c r="E530" s="30" t="s">
        <v>14</v>
      </c>
      <c r="F530" s="31">
        <v>0</v>
      </c>
      <c r="G530" s="31">
        <v>0</v>
      </c>
      <c r="H530" s="31">
        <v>4</v>
      </c>
      <c r="I530" s="31">
        <v>205</v>
      </c>
      <c r="J530" s="31">
        <f t="shared" si="34"/>
        <v>209</v>
      </c>
      <c r="K530" s="28">
        <v>19000</v>
      </c>
      <c r="L530" s="29">
        <v>0.45</v>
      </c>
      <c r="M530" s="31">
        <f t="shared" si="35"/>
        <v>8550</v>
      </c>
      <c r="N530" s="28">
        <f t="shared" ref="N515:N578" si="36">K530*(1-L530)</f>
        <v>10450</v>
      </c>
      <c r="O530" s="28">
        <v>14000</v>
      </c>
    </row>
    <row r="531" spans="1:15" x14ac:dyDescent="0.35">
      <c r="A531">
        <v>702576</v>
      </c>
      <c r="B531" t="s">
        <v>899</v>
      </c>
      <c r="C531" t="s">
        <v>897</v>
      </c>
      <c r="D531" t="s">
        <v>898</v>
      </c>
      <c r="E531" s="30" t="s">
        <v>14</v>
      </c>
      <c r="F531" s="31">
        <v>0</v>
      </c>
      <c r="G531" s="31">
        <v>0</v>
      </c>
      <c r="H531" s="31">
        <v>0</v>
      </c>
      <c r="I531" s="31">
        <v>2</v>
      </c>
      <c r="J531" s="31">
        <f t="shared" si="34"/>
        <v>2</v>
      </c>
      <c r="K531" s="28">
        <v>24000</v>
      </c>
      <c r="L531" s="29">
        <v>0.45</v>
      </c>
      <c r="M531" s="31">
        <f t="shared" si="35"/>
        <v>10800</v>
      </c>
      <c r="N531" s="28">
        <f t="shared" si="36"/>
        <v>13200.000000000002</v>
      </c>
      <c r="O531" s="28">
        <v>19000</v>
      </c>
    </row>
    <row r="532" spans="1:15" x14ac:dyDescent="0.35">
      <c r="A532">
        <v>702577</v>
      </c>
      <c r="B532" t="s">
        <v>900</v>
      </c>
      <c r="C532" t="s">
        <v>897</v>
      </c>
      <c r="D532" t="s">
        <v>898</v>
      </c>
      <c r="E532" s="30" t="s">
        <v>14</v>
      </c>
      <c r="F532" s="31">
        <v>0</v>
      </c>
      <c r="G532" s="31">
        <v>0</v>
      </c>
      <c r="H532" s="31">
        <v>0</v>
      </c>
      <c r="I532" s="31">
        <v>2</v>
      </c>
      <c r="J532" s="31">
        <f t="shared" si="34"/>
        <v>2</v>
      </c>
      <c r="K532" s="28">
        <v>128000</v>
      </c>
      <c r="L532" s="29">
        <v>0.45</v>
      </c>
      <c r="M532" s="31">
        <f t="shared" si="35"/>
        <v>57600</v>
      </c>
      <c r="N532" s="28">
        <f t="shared" si="36"/>
        <v>70400</v>
      </c>
      <c r="O532" s="28">
        <v>118000</v>
      </c>
    </row>
    <row r="533" spans="1:15" x14ac:dyDescent="0.35">
      <c r="A533">
        <v>703596</v>
      </c>
      <c r="B533" t="s">
        <v>901</v>
      </c>
      <c r="C533" t="s">
        <v>426</v>
      </c>
      <c r="D533" t="s">
        <v>898</v>
      </c>
      <c r="E533" s="30" t="s">
        <v>14</v>
      </c>
      <c r="F533" s="31">
        <v>0</v>
      </c>
      <c r="G533" s="31">
        <v>0</v>
      </c>
      <c r="H533" s="31">
        <v>0</v>
      </c>
      <c r="I533" s="31">
        <v>20</v>
      </c>
      <c r="J533" s="31">
        <f t="shared" si="34"/>
        <v>20</v>
      </c>
      <c r="K533" s="28">
        <v>4000</v>
      </c>
      <c r="L533" s="29">
        <v>0.81</v>
      </c>
      <c r="M533" s="31">
        <f t="shared" si="35"/>
        <v>3240</v>
      </c>
      <c r="N533" s="28">
        <f t="shared" si="36"/>
        <v>759.99999999999977</v>
      </c>
      <c r="O533" s="28">
        <v>2000</v>
      </c>
    </row>
    <row r="534" spans="1:15" x14ac:dyDescent="0.35">
      <c r="A534">
        <v>703653</v>
      </c>
      <c r="B534" t="s">
        <v>902</v>
      </c>
      <c r="C534" t="s">
        <v>426</v>
      </c>
      <c r="D534" t="s">
        <v>898</v>
      </c>
      <c r="E534" s="30" t="s">
        <v>14</v>
      </c>
      <c r="F534" s="31">
        <v>0</v>
      </c>
      <c r="G534" s="31">
        <v>0</v>
      </c>
      <c r="H534" s="31">
        <v>0</v>
      </c>
      <c r="I534" s="31">
        <v>4</v>
      </c>
      <c r="J534" s="31">
        <f t="shared" si="34"/>
        <v>4</v>
      </c>
      <c r="K534" s="28">
        <v>4000</v>
      </c>
      <c r="L534" s="29">
        <v>0.81</v>
      </c>
      <c r="M534" s="31">
        <f t="shared" si="35"/>
        <v>3240</v>
      </c>
      <c r="N534" s="28">
        <f t="shared" si="36"/>
        <v>759.99999999999977</v>
      </c>
      <c r="O534" s="28">
        <v>2000</v>
      </c>
    </row>
    <row r="535" spans="1:15" x14ac:dyDescent="0.35">
      <c r="A535">
        <v>736878</v>
      </c>
      <c r="B535" t="s">
        <v>1863</v>
      </c>
      <c r="C535" t="s">
        <v>368</v>
      </c>
      <c r="D535" t="s">
        <v>898</v>
      </c>
      <c r="E535" s="30" t="s">
        <v>14</v>
      </c>
      <c r="F535" s="31">
        <v>0</v>
      </c>
      <c r="G535" s="31">
        <v>0</v>
      </c>
      <c r="H535" s="31">
        <v>0</v>
      </c>
      <c r="I535" s="31">
        <v>23</v>
      </c>
      <c r="J535" s="31">
        <f t="shared" si="34"/>
        <v>23</v>
      </c>
      <c r="K535" s="28">
        <v>148000</v>
      </c>
      <c r="L535" s="29">
        <v>0.45</v>
      </c>
      <c r="M535" s="31">
        <f t="shared" si="35"/>
        <v>66600</v>
      </c>
      <c r="N535" s="28">
        <f t="shared" si="36"/>
        <v>81400</v>
      </c>
    </row>
    <row r="536" spans="1:15" x14ac:dyDescent="0.35">
      <c r="A536">
        <v>737198</v>
      </c>
      <c r="B536" t="s">
        <v>1864</v>
      </c>
      <c r="C536" t="s">
        <v>368</v>
      </c>
      <c r="D536" t="s">
        <v>898</v>
      </c>
      <c r="E536" s="30" t="s">
        <v>14</v>
      </c>
      <c r="F536" s="31">
        <v>0</v>
      </c>
      <c r="G536" s="31">
        <v>0</v>
      </c>
      <c r="H536" s="31">
        <v>0</v>
      </c>
      <c r="I536" s="31">
        <v>30</v>
      </c>
      <c r="J536" s="31">
        <f t="shared" si="34"/>
        <v>30</v>
      </c>
      <c r="K536" s="28">
        <v>328000</v>
      </c>
      <c r="L536" s="29">
        <v>0.45</v>
      </c>
      <c r="M536" s="31">
        <f t="shared" si="35"/>
        <v>147600</v>
      </c>
      <c r="N536" s="28">
        <f t="shared" si="36"/>
        <v>180400.00000000003</v>
      </c>
    </row>
    <row r="537" spans="1:15" x14ac:dyDescent="0.35">
      <c r="A537">
        <v>719324</v>
      </c>
      <c r="B537" t="s">
        <v>903</v>
      </c>
      <c r="C537" t="s">
        <v>449</v>
      </c>
      <c r="D537" t="s">
        <v>898</v>
      </c>
      <c r="E537" s="30" t="s">
        <v>14</v>
      </c>
      <c r="F537" s="31">
        <v>0</v>
      </c>
      <c r="G537" s="31">
        <v>0</v>
      </c>
      <c r="H537" s="31">
        <v>0</v>
      </c>
      <c r="I537" s="31">
        <v>1</v>
      </c>
      <c r="J537" s="31">
        <f t="shared" si="34"/>
        <v>1</v>
      </c>
      <c r="K537" s="28">
        <v>398000</v>
      </c>
      <c r="L537" s="29">
        <v>0.81</v>
      </c>
      <c r="M537" s="31">
        <f t="shared" si="35"/>
        <v>322380</v>
      </c>
      <c r="N537" s="28">
        <f t="shared" si="36"/>
        <v>75619.999999999985</v>
      </c>
      <c r="O537" s="28">
        <v>119400.00000000001</v>
      </c>
    </row>
    <row r="538" spans="1:15" x14ac:dyDescent="0.35">
      <c r="A538">
        <v>723179</v>
      </c>
      <c r="B538" t="s">
        <v>904</v>
      </c>
      <c r="C538" t="s">
        <v>449</v>
      </c>
      <c r="D538" t="s">
        <v>898</v>
      </c>
      <c r="E538" s="30" t="s">
        <v>14</v>
      </c>
      <c r="F538" s="31">
        <v>0</v>
      </c>
      <c r="G538" s="31">
        <v>0</v>
      </c>
      <c r="H538" s="31">
        <v>0</v>
      </c>
      <c r="I538" s="31">
        <v>3</v>
      </c>
      <c r="J538" s="31">
        <f t="shared" si="34"/>
        <v>3</v>
      </c>
      <c r="K538" s="28">
        <v>498000</v>
      </c>
      <c r="L538" s="29">
        <v>0.81</v>
      </c>
      <c r="M538" s="31">
        <f t="shared" si="35"/>
        <v>403380</v>
      </c>
      <c r="N538" s="28">
        <f t="shared" si="36"/>
        <v>94619.999999999971</v>
      </c>
      <c r="O538" s="28">
        <v>149400.00000000003</v>
      </c>
    </row>
    <row r="539" spans="1:15" x14ac:dyDescent="0.35">
      <c r="A539">
        <v>723180</v>
      </c>
      <c r="B539" t="s">
        <v>905</v>
      </c>
      <c r="C539" t="s">
        <v>449</v>
      </c>
      <c r="D539" t="s">
        <v>898</v>
      </c>
      <c r="E539" s="30" t="s">
        <v>14</v>
      </c>
      <c r="F539" s="31">
        <v>0</v>
      </c>
      <c r="G539" s="31">
        <v>0</v>
      </c>
      <c r="H539" s="31">
        <v>0</v>
      </c>
      <c r="I539" s="31">
        <v>8</v>
      </c>
      <c r="J539" s="31">
        <f t="shared" si="34"/>
        <v>8</v>
      </c>
      <c r="K539" s="28">
        <v>348000</v>
      </c>
      <c r="L539" s="29">
        <v>0.81</v>
      </c>
      <c r="M539" s="31">
        <f t="shared" si="35"/>
        <v>281880</v>
      </c>
      <c r="N539" s="28">
        <f t="shared" si="36"/>
        <v>66119.999999999985</v>
      </c>
      <c r="O539" s="28">
        <v>104400.00000000001</v>
      </c>
    </row>
    <row r="540" spans="1:15" x14ac:dyDescent="0.35">
      <c r="A540">
        <v>723185</v>
      </c>
      <c r="B540" t="s">
        <v>906</v>
      </c>
      <c r="C540" t="s">
        <v>449</v>
      </c>
      <c r="D540" t="s">
        <v>898</v>
      </c>
      <c r="E540" s="30" t="s">
        <v>14</v>
      </c>
      <c r="F540" s="31">
        <v>0</v>
      </c>
      <c r="G540" s="31">
        <v>0</v>
      </c>
      <c r="H540" s="31">
        <v>0</v>
      </c>
      <c r="I540" s="31">
        <v>1</v>
      </c>
      <c r="J540" s="31">
        <f t="shared" si="34"/>
        <v>1</v>
      </c>
      <c r="K540" s="28">
        <v>178000</v>
      </c>
      <c r="L540" s="29">
        <v>0.81</v>
      </c>
      <c r="M540" s="31">
        <f t="shared" si="35"/>
        <v>144180</v>
      </c>
      <c r="N540" s="28">
        <f t="shared" si="36"/>
        <v>33819.999999999993</v>
      </c>
      <c r="O540" s="28">
        <v>53400.000000000007</v>
      </c>
    </row>
    <row r="541" spans="1:15" x14ac:dyDescent="0.35">
      <c r="A541">
        <v>723186</v>
      </c>
      <c r="B541" t="s">
        <v>907</v>
      </c>
      <c r="C541" t="s">
        <v>449</v>
      </c>
      <c r="D541" t="s">
        <v>898</v>
      </c>
      <c r="E541" s="30" t="s">
        <v>14</v>
      </c>
      <c r="F541" s="31">
        <v>0</v>
      </c>
      <c r="G541" s="31">
        <v>0</v>
      </c>
      <c r="H541" s="31">
        <v>0</v>
      </c>
      <c r="I541" s="31">
        <v>2</v>
      </c>
      <c r="J541" s="31">
        <f t="shared" si="34"/>
        <v>2</v>
      </c>
      <c r="K541" s="28">
        <v>328000</v>
      </c>
      <c r="L541" s="29">
        <v>0.81</v>
      </c>
      <c r="M541" s="31">
        <f t="shared" si="35"/>
        <v>265680</v>
      </c>
      <c r="N541" s="28">
        <f t="shared" si="36"/>
        <v>62319.999999999985</v>
      </c>
      <c r="O541" s="28">
        <v>98400.000000000015</v>
      </c>
    </row>
    <row r="542" spans="1:15" x14ac:dyDescent="0.35">
      <c r="A542">
        <v>723188</v>
      </c>
      <c r="B542" t="s">
        <v>908</v>
      </c>
      <c r="C542" t="s">
        <v>449</v>
      </c>
      <c r="D542" t="s">
        <v>898</v>
      </c>
      <c r="E542" s="30" t="s">
        <v>14</v>
      </c>
      <c r="F542" s="31">
        <v>0</v>
      </c>
      <c r="G542" s="31">
        <v>0</v>
      </c>
      <c r="H542" s="31">
        <v>0</v>
      </c>
      <c r="I542" s="31">
        <v>1</v>
      </c>
      <c r="J542" s="31">
        <f t="shared" si="34"/>
        <v>1</v>
      </c>
      <c r="K542" s="28">
        <v>228000</v>
      </c>
      <c r="L542" s="29">
        <v>0.81</v>
      </c>
      <c r="M542" s="31">
        <f t="shared" si="35"/>
        <v>184680</v>
      </c>
      <c r="N542" s="28">
        <f t="shared" si="36"/>
        <v>43319.999999999985</v>
      </c>
      <c r="O542" s="28">
        <v>68400.000000000015</v>
      </c>
    </row>
    <row r="543" spans="1:15" x14ac:dyDescent="0.35">
      <c r="A543">
        <v>726397</v>
      </c>
      <c r="B543" t="s">
        <v>1865</v>
      </c>
      <c r="C543" t="s">
        <v>449</v>
      </c>
      <c r="D543" t="s">
        <v>898</v>
      </c>
      <c r="E543" s="30" t="s">
        <v>14</v>
      </c>
      <c r="F543" s="31">
        <v>0</v>
      </c>
      <c r="G543" s="31">
        <v>0</v>
      </c>
      <c r="H543" s="31">
        <v>0</v>
      </c>
      <c r="I543" s="31">
        <v>48</v>
      </c>
      <c r="J543" s="31">
        <f t="shared" si="34"/>
        <v>48</v>
      </c>
      <c r="K543" s="28">
        <v>118000</v>
      </c>
      <c r="L543" s="29">
        <v>0.81</v>
      </c>
      <c r="M543" s="31">
        <f t="shared" si="35"/>
        <v>95580</v>
      </c>
      <c r="N543" s="28">
        <f t="shared" si="36"/>
        <v>22419.999999999993</v>
      </c>
    </row>
    <row r="544" spans="1:15" x14ac:dyDescent="0.35">
      <c r="A544">
        <v>727152</v>
      </c>
      <c r="B544" t="s">
        <v>909</v>
      </c>
      <c r="C544" t="s">
        <v>449</v>
      </c>
      <c r="D544" t="s">
        <v>898</v>
      </c>
      <c r="E544" s="30" t="s">
        <v>14</v>
      </c>
      <c r="F544" s="31">
        <v>0</v>
      </c>
      <c r="G544" s="31">
        <v>0</v>
      </c>
      <c r="H544" s="31">
        <v>0</v>
      </c>
      <c r="I544" s="31">
        <v>1</v>
      </c>
      <c r="J544" s="31">
        <f t="shared" si="34"/>
        <v>1</v>
      </c>
      <c r="K544" s="28">
        <v>248000</v>
      </c>
      <c r="L544" s="29">
        <v>0.81</v>
      </c>
      <c r="M544" s="31">
        <f t="shared" si="35"/>
        <v>200880</v>
      </c>
      <c r="N544" s="28">
        <f t="shared" si="36"/>
        <v>47119.999999999985</v>
      </c>
      <c r="O544" s="28">
        <v>74400.000000000015</v>
      </c>
    </row>
    <row r="545" spans="1:15" x14ac:dyDescent="0.35">
      <c r="A545">
        <v>727153</v>
      </c>
      <c r="B545" t="s">
        <v>910</v>
      </c>
      <c r="C545" t="s">
        <v>449</v>
      </c>
      <c r="D545" t="s">
        <v>898</v>
      </c>
      <c r="E545" s="30" t="s">
        <v>14</v>
      </c>
      <c r="F545" s="31">
        <v>0</v>
      </c>
      <c r="G545" s="31">
        <v>0</v>
      </c>
      <c r="H545" s="31">
        <v>0</v>
      </c>
      <c r="I545" s="31">
        <v>20</v>
      </c>
      <c r="J545" s="31">
        <f t="shared" si="34"/>
        <v>20</v>
      </c>
      <c r="K545" s="28">
        <v>278000</v>
      </c>
      <c r="L545" s="29">
        <v>0.81</v>
      </c>
      <c r="M545" s="31">
        <f t="shared" si="35"/>
        <v>225180.00000000003</v>
      </c>
      <c r="N545" s="28">
        <f t="shared" si="36"/>
        <v>52819.999999999985</v>
      </c>
      <c r="O545" s="28">
        <v>83400.000000000015</v>
      </c>
    </row>
    <row r="546" spans="1:15" x14ac:dyDescent="0.35">
      <c r="A546">
        <v>727163</v>
      </c>
      <c r="B546" t="s">
        <v>911</v>
      </c>
      <c r="C546" t="s">
        <v>449</v>
      </c>
      <c r="D546" t="s">
        <v>898</v>
      </c>
      <c r="E546" s="30" t="s">
        <v>14</v>
      </c>
      <c r="F546" s="31">
        <v>0</v>
      </c>
      <c r="G546" s="31">
        <v>0</v>
      </c>
      <c r="H546" s="31">
        <v>0</v>
      </c>
      <c r="I546" s="31">
        <v>3</v>
      </c>
      <c r="J546" s="31">
        <f t="shared" si="34"/>
        <v>3</v>
      </c>
      <c r="K546" s="28">
        <v>248000</v>
      </c>
      <c r="L546" s="29">
        <v>0.81</v>
      </c>
      <c r="M546" s="31">
        <f t="shared" si="35"/>
        <v>200880</v>
      </c>
      <c r="N546" s="28">
        <f t="shared" si="36"/>
        <v>47119.999999999985</v>
      </c>
      <c r="O546" s="28">
        <v>74400.000000000015</v>
      </c>
    </row>
    <row r="547" spans="1:15" x14ac:dyDescent="0.35">
      <c r="A547">
        <v>727672</v>
      </c>
      <c r="B547" t="s">
        <v>1866</v>
      </c>
      <c r="C547" t="s">
        <v>449</v>
      </c>
      <c r="D547" t="s">
        <v>898</v>
      </c>
      <c r="E547" s="30" t="s">
        <v>14</v>
      </c>
      <c r="F547" s="31">
        <v>0</v>
      </c>
      <c r="G547" s="31">
        <v>0</v>
      </c>
      <c r="H547" s="31">
        <v>0</v>
      </c>
      <c r="I547" s="31">
        <v>1</v>
      </c>
      <c r="J547" s="31">
        <f t="shared" si="34"/>
        <v>1</v>
      </c>
      <c r="K547" s="28">
        <v>64000</v>
      </c>
      <c r="L547" s="29">
        <v>0.81</v>
      </c>
      <c r="M547" s="31">
        <f t="shared" si="35"/>
        <v>51840</v>
      </c>
      <c r="N547" s="28">
        <f t="shared" si="36"/>
        <v>12159.999999999996</v>
      </c>
    </row>
    <row r="548" spans="1:15" x14ac:dyDescent="0.35">
      <c r="A548">
        <v>731170</v>
      </c>
      <c r="B548" t="s">
        <v>912</v>
      </c>
      <c r="C548" t="s">
        <v>820</v>
      </c>
      <c r="D548" t="s">
        <v>898</v>
      </c>
      <c r="E548" s="30" t="s">
        <v>14</v>
      </c>
      <c r="F548" s="31">
        <v>0</v>
      </c>
      <c r="G548" s="31">
        <v>0</v>
      </c>
      <c r="H548" s="31">
        <v>0</v>
      </c>
      <c r="I548" s="31">
        <v>1</v>
      </c>
      <c r="J548" s="31">
        <f t="shared" si="34"/>
        <v>1</v>
      </c>
      <c r="K548" s="28">
        <v>84000</v>
      </c>
      <c r="L548" s="29">
        <v>0.81</v>
      </c>
      <c r="M548" s="31">
        <f t="shared" si="35"/>
        <v>68040</v>
      </c>
      <c r="N548" s="28">
        <f t="shared" si="36"/>
        <v>15959.999999999996</v>
      </c>
      <c r="O548" s="28">
        <v>42000</v>
      </c>
    </row>
    <row r="549" spans="1:15" x14ac:dyDescent="0.35">
      <c r="A549">
        <v>734853</v>
      </c>
      <c r="B549" t="s">
        <v>913</v>
      </c>
      <c r="C549" t="s">
        <v>820</v>
      </c>
      <c r="D549" t="s">
        <v>898</v>
      </c>
      <c r="E549" s="30" t="s">
        <v>14</v>
      </c>
      <c r="F549" s="31">
        <v>0</v>
      </c>
      <c r="G549" s="31">
        <v>0</v>
      </c>
      <c r="H549" s="31">
        <v>0</v>
      </c>
      <c r="I549" s="31">
        <v>2</v>
      </c>
      <c r="J549" s="31">
        <f t="shared" si="34"/>
        <v>2</v>
      </c>
      <c r="K549" s="28">
        <v>84000</v>
      </c>
      <c r="L549" s="29">
        <v>0.81</v>
      </c>
      <c r="M549" s="31">
        <f t="shared" si="35"/>
        <v>68040</v>
      </c>
      <c r="N549" s="28">
        <f t="shared" si="36"/>
        <v>15959.999999999996</v>
      </c>
      <c r="O549" s="28">
        <v>42000</v>
      </c>
    </row>
    <row r="550" spans="1:15" x14ac:dyDescent="0.35">
      <c r="A550">
        <v>734856</v>
      </c>
      <c r="B550" t="s">
        <v>914</v>
      </c>
      <c r="C550" t="s">
        <v>820</v>
      </c>
      <c r="D550" t="s">
        <v>898</v>
      </c>
      <c r="E550" s="30" t="s">
        <v>14</v>
      </c>
      <c r="F550" s="31">
        <v>0</v>
      </c>
      <c r="G550" s="31">
        <v>0</v>
      </c>
      <c r="H550" s="31">
        <v>0</v>
      </c>
      <c r="I550" s="31">
        <v>1</v>
      </c>
      <c r="J550" s="31">
        <f t="shared" si="34"/>
        <v>1</v>
      </c>
      <c r="K550" s="28">
        <v>84000</v>
      </c>
      <c r="L550" s="29">
        <v>0.81</v>
      </c>
      <c r="M550" s="31">
        <f t="shared" si="35"/>
        <v>68040</v>
      </c>
      <c r="N550" s="28">
        <f t="shared" si="36"/>
        <v>15959.999999999996</v>
      </c>
      <c r="O550" s="28">
        <v>42000</v>
      </c>
    </row>
    <row r="551" spans="1:15" x14ac:dyDescent="0.35">
      <c r="A551">
        <v>734857</v>
      </c>
      <c r="B551" t="s">
        <v>915</v>
      </c>
      <c r="C551" t="s">
        <v>820</v>
      </c>
      <c r="D551" t="s">
        <v>898</v>
      </c>
      <c r="E551" s="30" t="s">
        <v>14</v>
      </c>
      <c r="F551" s="31">
        <v>0</v>
      </c>
      <c r="G551" s="31">
        <v>0</v>
      </c>
      <c r="H551" s="31">
        <v>0</v>
      </c>
      <c r="I551" s="31">
        <v>1</v>
      </c>
      <c r="J551" s="31">
        <f t="shared" si="34"/>
        <v>1</v>
      </c>
      <c r="K551" s="28">
        <v>84000</v>
      </c>
      <c r="L551" s="29">
        <v>0.81</v>
      </c>
      <c r="M551" s="31">
        <f t="shared" si="35"/>
        <v>68040</v>
      </c>
      <c r="N551" s="28">
        <f t="shared" si="36"/>
        <v>15959.999999999996</v>
      </c>
      <c r="O551" s="28">
        <v>42000</v>
      </c>
    </row>
    <row r="552" spans="1:15" x14ac:dyDescent="0.35">
      <c r="A552">
        <v>729835001</v>
      </c>
      <c r="B552" t="s">
        <v>62</v>
      </c>
      <c r="C552" t="s">
        <v>63</v>
      </c>
      <c r="D552" t="s">
        <v>64</v>
      </c>
      <c r="E552" s="30" t="s">
        <v>14</v>
      </c>
      <c r="F552" s="31">
        <v>0</v>
      </c>
      <c r="G552" s="31">
        <v>0</v>
      </c>
      <c r="H552" s="31">
        <v>0</v>
      </c>
      <c r="I552" s="31">
        <v>3</v>
      </c>
      <c r="J552" s="31">
        <f t="shared" si="34"/>
        <v>3</v>
      </c>
      <c r="K552" s="28">
        <v>3398000</v>
      </c>
      <c r="L552" s="29">
        <v>0.45</v>
      </c>
      <c r="M552" s="31">
        <f t="shared" si="35"/>
        <v>1529100</v>
      </c>
      <c r="N552" s="28">
        <f t="shared" si="36"/>
        <v>1868900.0000000002</v>
      </c>
      <c r="O552" s="28">
        <v>2378600</v>
      </c>
    </row>
    <row r="553" spans="1:15" x14ac:dyDescent="0.35">
      <c r="A553">
        <v>729835002</v>
      </c>
      <c r="B553" t="s">
        <v>65</v>
      </c>
      <c r="C553" t="s">
        <v>63</v>
      </c>
      <c r="D553" t="s">
        <v>64</v>
      </c>
      <c r="E553" s="30" t="s">
        <v>14</v>
      </c>
      <c r="F553" s="31">
        <v>0</v>
      </c>
      <c r="G553" s="31">
        <v>0</v>
      </c>
      <c r="H553" s="31">
        <v>0</v>
      </c>
      <c r="I553" s="31">
        <v>2</v>
      </c>
      <c r="J553" s="31">
        <f t="shared" si="34"/>
        <v>2</v>
      </c>
      <c r="K553" s="28">
        <v>3398000</v>
      </c>
      <c r="L553" s="29">
        <v>0.45</v>
      </c>
      <c r="M553" s="31">
        <f t="shared" si="35"/>
        <v>1529100</v>
      </c>
      <c r="N553" s="28">
        <f t="shared" si="36"/>
        <v>1868900.0000000002</v>
      </c>
      <c r="O553" s="28">
        <v>2378600</v>
      </c>
    </row>
    <row r="554" spans="1:15" x14ac:dyDescent="0.35">
      <c r="A554">
        <v>729835004</v>
      </c>
      <c r="B554" t="s">
        <v>67</v>
      </c>
      <c r="C554" t="s">
        <v>63</v>
      </c>
      <c r="D554" t="s">
        <v>64</v>
      </c>
      <c r="E554" s="30" t="s">
        <v>14</v>
      </c>
      <c r="F554" s="31">
        <v>0</v>
      </c>
      <c r="G554" s="31">
        <v>0</v>
      </c>
      <c r="H554" s="31">
        <v>0</v>
      </c>
      <c r="I554" s="31">
        <v>2</v>
      </c>
      <c r="J554" s="31">
        <f t="shared" si="34"/>
        <v>2</v>
      </c>
      <c r="K554" s="28">
        <v>3398000</v>
      </c>
      <c r="L554" s="29">
        <v>0.45</v>
      </c>
      <c r="M554" s="31">
        <f t="shared" si="35"/>
        <v>1529100</v>
      </c>
      <c r="N554" s="28">
        <f t="shared" si="36"/>
        <v>1868900.0000000002</v>
      </c>
      <c r="O554" s="28">
        <v>2378600</v>
      </c>
    </row>
    <row r="555" spans="1:15" x14ac:dyDescent="0.35">
      <c r="A555">
        <v>729835005</v>
      </c>
      <c r="B555" t="s">
        <v>68</v>
      </c>
      <c r="C555" t="s">
        <v>63</v>
      </c>
      <c r="D555" t="s">
        <v>64</v>
      </c>
      <c r="E555" s="30" t="s">
        <v>14</v>
      </c>
      <c r="F555" s="31">
        <v>0</v>
      </c>
      <c r="G555" s="31">
        <v>0</v>
      </c>
      <c r="H555" s="31">
        <v>1</v>
      </c>
      <c r="I555" s="31">
        <v>3</v>
      </c>
      <c r="J555" s="31">
        <f t="shared" si="34"/>
        <v>4</v>
      </c>
      <c r="K555" s="28">
        <v>3398000</v>
      </c>
      <c r="L555" s="29">
        <v>0.45</v>
      </c>
      <c r="M555" s="31">
        <f t="shared" si="35"/>
        <v>1529100</v>
      </c>
      <c r="N555" s="28">
        <f t="shared" si="36"/>
        <v>1868900.0000000002</v>
      </c>
      <c r="O555" s="28">
        <v>2378600</v>
      </c>
    </row>
    <row r="556" spans="1:15" x14ac:dyDescent="0.35">
      <c r="A556">
        <v>729835006</v>
      </c>
      <c r="B556" t="s">
        <v>69</v>
      </c>
      <c r="C556" t="s">
        <v>63</v>
      </c>
      <c r="D556" t="s">
        <v>64</v>
      </c>
      <c r="E556" s="30" t="s">
        <v>14</v>
      </c>
      <c r="F556" s="31">
        <v>0</v>
      </c>
      <c r="G556" s="31">
        <v>0</v>
      </c>
      <c r="H556" s="31">
        <v>0</v>
      </c>
      <c r="I556" s="31">
        <v>3</v>
      </c>
      <c r="J556" s="31">
        <f t="shared" si="34"/>
        <v>3</v>
      </c>
      <c r="K556" s="28">
        <v>3398000</v>
      </c>
      <c r="L556" s="29">
        <v>0.45</v>
      </c>
      <c r="M556" s="31">
        <f t="shared" si="35"/>
        <v>1529100</v>
      </c>
      <c r="N556" s="28">
        <f t="shared" si="36"/>
        <v>1868900.0000000002</v>
      </c>
      <c r="O556" s="28">
        <v>2378600</v>
      </c>
    </row>
    <row r="557" spans="1:15" x14ac:dyDescent="0.35">
      <c r="A557">
        <v>729835009</v>
      </c>
      <c r="B557" t="s">
        <v>70</v>
      </c>
      <c r="C557" t="s">
        <v>63</v>
      </c>
      <c r="D557" t="s">
        <v>64</v>
      </c>
      <c r="E557" s="30" t="s">
        <v>14</v>
      </c>
      <c r="F557" s="31">
        <v>0</v>
      </c>
      <c r="G557" s="31">
        <v>0</v>
      </c>
      <c r="H557" s="31">
        <v>0</v>
      </c>
      <c r="I557" s="31">
        <v>1</v>
      </c>
      <c r="J557" s="31">
        <f t="shared" si="34"/>
        <v>1</v>
      </c>
      <c r="K557" s="28">
        <v>3398000</v>
      </c>
      <c r="L557" s="29">
        <v>0.45</v>
      </c>
      <c r="M557" s="31">
        <f t="shared" si="35"/>
        <v>1529100</v>
      </c>
      <c r="N557" s="28">
        <f t="shared" si="36"/>
        <v>1868900.0000000002</v>
      </c>
      <c r="O557" s="28">
        <v>2378600</v>
      </c>
    </row>
    <row r="558" spans="1:15" x14ac:dyDescent="0.35">
      <c r="A558">
        <v>729835010</v>
      </c>
      <c r="B558" t="s">
        <v>71</v>
      </c>
      <c r="C558" t="s">
        <v>63</v>
      </c>
      <c r="D558" t="s">
        <v>64</v>
      </c>
      <c r="E558" s="30" t="s">
        <v>14</v>
      </c>
      <c r="F558" s="31">
        <v>0</v>
      </c>
      <c r="G558" s="31">
        <v>0</v>
      </c>
      <c r="H558" s="31">
        <v>1</v>
      </c>
      <c r="I558" s="31">
        <v>3</v>
      </c>
      <c r="J558" s="31">
        <f t="shared" si="34"/>
        <v>4</v>
      </c>
      <c r="K558" s="28">
        <v>3398000</v>
      </c>
      <c r="L558" s="29">
        <v>0.45</v>
      </c>
      <c r="M558" s="31">
        <f t="shared" si="35"/>
        <v>1529100</v>
      </c>
      <c r="N558" s="28">
        <f t="shared" si="36"/>
        <v>1868900.0000000002</v>
      </c>
      <c r="O558" s="28">
        <v>2378600</v>
      </c>
    </row>
    <row r="559" spans="1:15" x14ac:dyDescent="0.35">
      <c r="A559">
        <v>729835014</v>
      </c>
      <c r="B559" t="s">
        <v>72</v>
      </c>
      <c r="C559" t="s">
        <v>63</v>
      </c>
      <c r="D559" t="s">
        <v>64</v>
      </c>
      <c r="E559" s="30" t="s">
        <v>14</v>
      </c>
      <c r="F559" s="31">
        <v>0</v>
      </c>
      <c r="G559" s="31">
        <v>0</v>
      </c>
      <c r="H559" s="31">
        <v>0</v>
      </c>
      <c r="I559" s="31">
        <v>1</v>
      </c>
      <c r="J559" s="31">
        <f t="shared" si="34"/>
        <v>1</v>
      </c>
      <c r="K559" s="28">
        <v>3398000</v>
      </c>
      <c r="L559" s="29">
        <v>0.45</v>
      </c>
      <c r="M559" s="31">
        <f t="shared" si="35"/>
        <v>1529100</v>
      </c>
      <c r="N559" s="28">
        <f t="shared" si="36"/>
        <v>1868900.0000000002</v>
      </c>
      <c r="O559" s="28">
        <v>2378600</v>
      </c>
    </row>
    <row r="560" spans="1:15" x14ac:dyDescent="0.35">
      <c r="A560">
        <v>729835015</v>
      </c>
      <c r="B560" t="s">
        <v>73</v>
      </c>
      <c r="C560" t="s">
        <v>63</v>
      </c>
      <c r="D560" t="s">
        <v>64</v>
      </c>
      <c r="E560" s="30" t="s">
        <v>14</v>
      </c>
      <c r="F560" s="31">
        <v>0</v>
      </c>
      <c r="G560" s="31">
        <v>0</v>
      </c>
      <c r="H560" s="31">
        <v>3</v>
      </c>
      <c r="I560" s="31">
        <v>4</v>
      </c>
      <c r="J560" s="31">
        <f t="shared" si="34"/>
        <v>7</v>
      </c>
      <c r="K560" s="28">
        <v>3398000</v>
      </c>
      <c r="L560" s="29">
        <v>0.45</v>
      </c>
      <c r="M560" s="31">
        <f t="shared" si="35"/>
        <v>1529100</v>
      </c>
      <c r="N560" s="28">
        <f t="shared" si="36"/>
        <v>1868900.0000000002</v>
      </c>
      <c r="O560" s="28">
        <v>2378600</v>
      </c>
    </row>
    <row r="561" spans="1:15" x14ac:dyDescent="0.35">
      <c r="A561">
        <v>729835021</v>
      </c>
      <c r="B561" t="s">
        <v>75</v>
      </c>
      <c r="C561" t="s">
        <v>63</v>
      </c>
      <c r="D561" t="s">
        <v>64</v>
      </c>
      <c r="E561" s="30" t="s">
        <v>14</v>
      </c>
      <c r="F561" s="31">
        <v>0</v>
      </c>
      <c r="G561" s="31">
        <v>0</v>
      </c>
      <c r="H561" s="31">
        <v>0</v>
      </c>
      <c r="I561" s="31">
        <v>1</v>
      </c>
      <c r="J561" s="31">
        <f t="shared" si="34"/>
        <v>1</v>
      </c>
      <c r="K561" s="28">
        <v>3398000</v>
      </c>
      <c r="L561" s="29">
        <v>0.45</v>
      </c>
      <c r="M561" s="31">
        <f t="shared" si="35"/>
        <v>1529100</v>
      </c>
      <c r="N561" s="28">
        <f t="shared" si="36"/>
        <v>1868900.0000000002</v>
      </c>
      <c r="O561" s="28">
        <v>2378600</v>
      </c>
    </row>
    <row r="562" spans="1:15" x14ac:dyDescent="0.35">
      <c r="A562">
        <v>729835027</v>
      </c>
      <c r="B562" t="s">
        <v>76</v>
      </c>
      <c r="C562" t="s">
        <v>63</v>
      </c>
      <c r="D562" t="s">
        <v>64</v>
      </c>
      <c r="E562" s="30" t="s">
        <v>14</v>
      </c>
      <c r="F562" s="31">
        <v>0</v>
      </c>
      <c r="G562" s="31">
        <v>0</v>
      </c>
      <c r="H562" s="31">
        <v>0</v>
      </c>
      <c r="I562" s="31">
        <v>2</v>
      </c>
      <c r="J562" s="31">
        <f t="shared" si="34"/>
        <v>2</v>
      </c>
      <c r="K562" s="28">
        <v>3398000</v>
      </c>
      <c r="L562" s="29">
        <v>0.45</v>
      </c>
      <c r="M562" s="31">
        <f t="shared" si="35"/>
        <v>1529100</v>
      </c>
      <c r="N562" s="28">
        <f t="shared" si="36"/>
        <v>1868900.0000000002</v>
      </c>
      <c r="O562" s="28">
        <v>2378600</v>
      </c>
    </row>
    <row r="563" spans="1:15" x14ac:dyDescent="0.35">
      <c r="A563">
        <v>729835029</v>
      </c>
      <c r="B563" t="s">
        <v>78</v>
      </c>
      <c r="C563" t="s">
        <v>63</v>
      </c>
      <c r="D563" t="s">
        <v>64</v>
      </c>
      <c r="E563" s="30" t="s">
        <v>14</v>
      </c>
      <c r="F563" s="31">
        <v>0</v>
      </c>
      <c r="G563" s="31">
        <v>0</v>
      </c>
      <c r="H563" s="31">
        <v>0</v>
      </c>
      <c r="I563" s="31">
        <v>1</v>
      </c>
      <c r="J563" s="31">
        <f t="shared" si="34"/>
        <v>1</v>
      </c>
      <c r="K563" s="28">
        <v>3398000</v>
      </c>
      <c r="L563" s="29">
        <v>0.45</v>
      </c>
      <c r="M563" s="31">
        <f t="shared" si="35"/>
        <v>1529100</v>
      </c>
      <c r="N563" s="28">
        <f t="shared" si="36"/>
        <v>1868900.0000000002</v>
      </c>
      <c r="O563" s="28">
        <v>2378600</v>
      </c>
    </row>
    <row r="564" spans="1:15" x14ac:dyDescent="0.35">
      <c r="A564">
        <v>729835031</v>
      </c>
      <c r="B564" t="s">
        <v>79</v>
      </c>
      <c r="C564" t="s">
        <v>63</v>
      </c>
      <c r="D564" t="s">
        <v>64</v>
      </c>
      <c r="E564" s="30" t="s">
        <v>14</v>
      </c>
      <c r="F564" s="31">
        <v>0</v>
      </c>
      <c r="G564" s="31">
        <v>0</v>
      </c>
      <c r="H564" s="31">
        <v>2</v>
      </c>
      <c r="I564" s="31">
        <v>1</v>
      </c>
      <c r="J564" s="31">
        <f t="shared" si="34"/>
        <v>3</v>
      </c>
      <c r="K564" s="28">
        <v>3398000</v>
      </c>
      <c r="L564" s="29">
        <v>0.45</v>
      </c>
      <c r="M564" s="31">
        <f t="shared" si="35"/>
        <v>1529100</v>
      </c>
      <c r="N564" s="28">
        <f t="shared" si="36"/>
        <v>1868900.0000000002</v>
      </c>
      <c r="O564" s="28">
        <v>2378600</v>
      </c>
    </row>
    <row r="565" spans="1:15" x14ac:dyDescent="0.35">
      <c r="A565">
        <v>729835032</v>
      </c>
      <c r="B565" t="s">
        <v>80</v>
      </c>
      <c r="C565" t="s">
        <v>63</v>
      </c>
      <c r="D565" t="s">
        <v>64</v>
      </c>
      <c r="E565" s="30" t="s">
        <v>14</v>
      </c>
      <c r="F565" s="31">
        <v>0</v>
      </c>
      <c r="G565" s="31">
        <v>0</v>
      </c>
      <c r="H565" s="31">
        <v>1</v>
      </c>
      <c r="I565" s="31">
        <v>0</v>
      </c>
      <c r="J565" s="31">
        <f t="shared" si="34"/>
        <v>1</v>
      </c>
      <c r="K565" s="28">
        <v>3398000</v>
      </c>
      <c r="L565" s="29">
        <v>0.45</v>
      </c>
      <c r="M565" s="31">
        <f t="shared" si="35"/>
        <v>1529100</v>
      </c>
      <c r="N565" s="28">
        <f t="shared" si="36"/>
        <v>1868900.0000000002</v>
      </c>
      <c r="O565" s="28">
        <v>2378600</v>
      </c>
    </row>
    <row r="566" spans="1:15" x14ac:dyDescent="0.35">
      <c r="A566">
        <v>729835033</v>
      </c>
      <c r="B566" t="s">
        <v>81</v>
      </c>
      <c r="C566" t="s">
        <v>63</v>
      </c>
      <c r="D566" t="s">
        <v>64</v>
      </c>
      <c r="E566" s="30" t="s">
        <v>14</v>
      </c>
      <c r="F566" s="31">
        <v>0</v>
      </c>
      <c r="G566" s="31">
        <v>0</v>
      </c>
      <c r="H566" s="31">
        <v>1</v>
      </c>
      <c r="I566" s="31">
        <v>3</v>
      </c>
      <c r="J566" s="31">
        <f t="shared" si="34"/>
        <v>4</v>
      </c>
      <c r="K566" s="28">
        <v>3398000</v>
      </c>
      <c r="L566" s="29">
        <v>0.45</v>
      </c>
      <c r="M566" s="31">
        <f t="shared" si="35"/>
        <v>1529100</v>
      </c>
      <c r="N566" s="28">
        <f t="shared" si="36"/>
        <v>1868900.0000000002</v>
      </c>
      <c r="O566" s="28">
        <v>2378600</v>
      </c>
    </row>
    <row r="567" spans="1:15" x14ac:dyDescent="0.35">
      <c r="A567">
        <v>729835034</v>
      </c>
      <c r="B567" t="s">
        <v>82</v>
      </c>
      <c r="C567" t="s">
        <v>63</v>
      </c>
      <c r="D567" t="s">
        <v>64</v>
      </c>
      <c r="E567" s="30" t="s">
        <v>14</v>
      </c>
      <c r="F567" s="31">
        <v>0</v>
      </c>
      <c r="G567" s="31">
        <v>0</v>
      </c>
      <c r="H567" s="31">
        <v>0</v>
      </c>
      <c r="I567" s="31">
        <v>1</v>
      </c>
      <c r="J567" s="31">
        <f t="shared" si="34"/>
        <v>1</v>
      </c>
      <c r="K567" s="28">
        <v>3398000</v>
      </c>
      <c r="L567" s="29">
        <v>0.45</v>
      </c>
      <c r="M567" s="31">
        <f t="shared" si="35"/>
        <v>1529100</v>
      </c>
      <c r="N567" s="28">
        <f t="shared" si="36"/>
        <v>1868900.0000000002</v>
      </c>
      <c r="O567" s="28">
        <v>2378600</v>
      </c>
    </row>
    <row r="568" spans="1:15" x14ac:dyDescent="0.35">
      <c r="A568">
        <v>729835035</v>
      </c>
      <c r="B568" t="s">
        <v>83</v>
      </c>
      <c r="C568" t="s">
        <v>63</v>
      </c>
      <c r="D568" t="s">
        <v>64</v>
      </c>
      <c r="E568" s="30" t="s">
        <v>14</v>
      </c>
      <c r="F568" s="31">
        <v>0</v>
      </c>
      <c r="G568" s="31">
        <v>0</v>
      </c>
      <c r="H568" s="31">
        <v>2</v>
      </c>
      <c r="I568" s="31">
        <v>3</v>
      </c>
      <c r="J568" s="31">
        <f t="shared" si="34"/>
        <v>5</v>
      </c>
      <c r="K568" s="28">
        <v>3398000</v>
      </c>
      <c r="L568" s="29">
        <v>0.45</v>
      </c>
      <c r="M568" s="31">
        <f t="shared" si="35"/>
        <v>1529100</v>
      </c>
      <c r="N568" s="28">
        <f t="shared" si="36"/>
        <v>1868900.0000000002</v>
      </c>
      <c r="O568" s="28">
        <v>2378600</v>
      </c>
    </row>
    <row r="569" spans="1:15" x14ac:dyDescent="0.35">
      <c r="A569">
        <v>729837005</v>
      </c>
      <c r="B569" t="s">
        <v>919</v>
      </c>
      <c r="C569" t="s">
        <v>63</v>
      </c>
      <c r="D569" t="s">
        <v>64</v>
      </c>
      <c r="E569" s="30" t="s">
        <v>14</v>
      </c>
      <c r="F569" s="31">
        <v>0</v>
      </c>
      <c r="G569" s="31">
        <v>0</v>
      </c>
      <c r="H569" s="31">
        <v>0</v>
      </c>
      <c r="I569" s="31">
        <v>2</v>
      </c>
      <c r="J569" s="31">
        <f t="shared" si="34"/>
        <v>2</v>
      </c>
      <c r="K569" s="28">
        <v>1998000</v>
      </c>
      <c r="L569" s="29">
        <v>0.81</v>
      </c>
      <c r="M569" s="31">
        <f t="shared" si="35"/>
        <v>1618380</v>
      </c>
      <c r="N569" s="28">
        <f t="shared" si="36"/>
        <v>379619.99999999988</v>
      </c>
      <c r="O569" s="28">
        <v>1398600</v>
      </c>
    </row>
    <row r="570" spans="1:15" x14ac:dyDescent="0.35">
      <c r="A570">
        <v>731840001</v>
      </c>
      <c r="B570" t="s">
        <v>920</v>
      </c>
      <c r="C570" t="s">
        <v>63</v>
      </c>
      <c r="D570" t="s">
        <v>64</v>
      </c>
      <c r="E570" s="30" t="s">
        <v>14</v>
      </c>
      <c r="F570" s="31">
        <v>0</v>
      </c>
      <c r="G570" s="31">
        <v>0</v>
      </c>
      <c r="H570" s="31">
        <v>0</v>
      </c>
      <c r="I570" s="31">
        <v>2</v>
      </c>
      <c r="J570" s="31">
        <f t="shared" si="34"/>
        <v>2</v>
      </c>
      <c r="K570" s="28">
        <v>2198000</v>
      </c>
      <c r="L570" s="29">
        <v>0.81</v>
      </c>
      <c r="M570" s="31">
        <f t="shared" si="35"/>
        <v>1780380.0000000002</v>
      </c>
      <c r="N570" s="28">
        <f t="shared" si="36"/>
        <v>417619.99999999988</v>
      </c>
      <c r="O570" s="28">
        <v>1538600</v>
      </c>
    </row>
    <row r="571" spans="1:15" x14ac:dyDescent="0.35">
      <c r="A571">
        <v>731840002</v>
      </c>
      <c r="B571" t="s">
        <v>921</v>
      </c>
      <c r="C571" t="s">
        <v>63</v>
      </c>
      <c r="D571" t="s">
        <v>64</v>
      </c>
      <c r="E571" s="30" t="s">
        <v>14</v>
      </c>
      <c r="F571" s="31">
        <v>0</v>
      </c>
      <c r="G571" s="31">
        <v>0</v>
      </c>
      <c r="H571" s="31">
        <v>0</v>
      </c>
      <c r="I571" s="31">
        <v>2</v>
      </c>
      <c r="J571" s="31">
        <f t="shared" si="34"/>
        <v>2</v>
      </c>
      <c r="K571" s="28">
        <v>2198000</v>
      </c>
      <c r="L571" s="29">
        <v>0.81</v>
      </c>
      <c r="M571" s="31">
        <f t="shared" si="35"/>
        <v>1780380.0000000002</v>
      </c>
      <c r="N571" s="28">
        <f t="shared" si="36"/>
        <v>417619.99999999988</v>
      </c>
      <c r="O571" s="28">
        <v>1538600</v>
      </c>
    </row>
    <row r="572" spans="1:15" x14ac:dyDescent="0.35">
      <c r="A572">
        <v>731840004</v>
      </c>
      <c r="B572" t="s">
        <v>922</v>
      </c>
      <c r="C572" t="s">
        <v>63</v>
      </c>
      <c r="D572" t="s">
        <v>64</v>
      </c>
      <c r="E572" s="30" t="s">
        <v>14</v>
      </c>
      <c r="F572" s="31">
        <v>0</v>
      </c>
      <c r="G572" s="31">
        <v>0</v>
      </c>
      <c r="H572" s="31">
        <v>0</v>
      </c>
      <c r="I572" s="31">
        <v>1</v>
      </c>
      <c r="J572" s="31">
        <f t="shared" si="34"/>
        <v>1</v>
      </c>
      <c r="K572" s="28">
        <v>2198000</v>
      </c>
      <c r="L572" s="29">
        <v>0.81</v>
      </c>
      <c r="M572" s="31">
        <f t="shared" si="35"/>
        <v>1780380.0000000002</v>
      </c>
      <c r="N572" s="28">
        <f t="shared" si="36"/>
        <v>417619.99999999988</v>
      </c>
      <c r="O572" s="28">
        <v>1538600</v>
      </c>
    </row>
    <row r="573" spans="1:15" x14ac:dyDescent="0.35">
      <c r="A573">
        <v>731842001</v>
      </c>
      <c r="B573" t="s">
        <v>923</v>
      </c>
      <c r="C573" t="s">
        <v>63</v>
      </c>
      <c r="D573" t="s">
        <v>64</v>
      </c>
      <c r="E573" s="30" t="s">
        <v>14</v>
      </c>
      <c r="F573" s="31">
        <v>0</v>
      </c>
      <c r="G573" s="31">
        <v>0</v>
      </c>
      <c r="H573" s="31">
        <v>0</v>
      </c>
      <c r="I573" s="31">
        <v>9</v>
      </c>
      <c r="J573" s="31">
        <f t="shared" si="34"/>
        <v>9</v>
      </c>
      <c r="K573" s="28">
        <v>848000</v>
      </c>
      <c r="L573" s="29">
        <v>0.81</v>
      </c>
      <c r="M573" s="31">
        <f t="shared" si="35"/>
        <v>686880</v>
      </c>
      <c r="N573" s="28">
        <f t="shared" si="36"/>
        <v>161119.99999999994</v>
      </c>
      <c r="O573" s="28">
        <v>593600</v>
      </c>
    </row>
    <row r="574" spans="1:15" x14ac:dyDescent="0.35">
      <c r="A574">
        <v>731842003</v>
      </c>
      <c r="B574" t="s">
        <v>924</v>
      </c>
      <c r="C574" t="s">
        <v>63</v>
      </c>
      <c r="D574" t="s">
        <v>64</v>
      </c>
      <c r="E574" s="30" t="s">
        <v>14</v>
      </c>
      <c r="F574" s="31">
        <v>0</v>
      </c>
      <c r="G574" s="31">
        <v>0</v>
      </c>
      <c r="H574" s="31">
        <v>0</v>
      </c>
      <c r="I574" s="31">
        <v>3</v>
      </c>
      <c r="J574" s="31">
        <f t="shared" si="34"/>
        <v>3</v>
      </c>
      <c r="K574" s="28">
        <v>848000</v>
      </c>
      <c r="L574" s="29">
        <v>0.81</v>
      </c>
      <c r="M574" s="31">
        <f t="shared" si="35"/>
        <v>686880</v>
      </c>
      <c r="N574" s="28">
        <f t="shared" si="36"/>
        <v>161119.99999999994</v>
      </c>
      <c r="O574" s="28">
        <v>593600</v>
      </c>
    </row>
    <row r="575" spans="1:15" x14ac:dyDescent="0.35">
      <c r="A575">
        <v>731842005</v>
      </c>
      <c r="B575" t="s">
        <v>925</v>
      </c>
      <c r="C575" t="s">
        <v>63</v>
      </c>
      <c r="D575" t="s">
        <v>64</v>
      </c>
      <c r="E575" s="30" t="s">
        <v>14</v>
      </c>
      <c r="F575" s="31">
        <v>0</v>
      </c>
      <c r="G575" s="31">
        <v>0</v>
      </c>
      <c r="H575" s="31">
        <v>0</v>
      </c>
      <c r="I575" s="31">
        <v>3</v>
      </c>
      <c r="J575" s="31">
        <f t="shared" si="34"/>
        <v>3</v>
      </c>
      <c r="K575" s="28">
        <v>848000</v>
      </c>
      <c r="L575" s="29">
        <v>0.81</v>
      </c>
      <c r="M575" s="31">
        <f t="shared" si="35"/>
        <v>686880</v>
      </c>
      <c r="N575" s="28">
        <f t="shared" si="36"/>
        <v>161119.99999999994</v>
      </c>
      <c r="O575" s="28">
        <v>593600</v>
      </c>
    </row>
    <row r="576" spans="1:15" x14ac:dyDescent="0.35">
      <c r="A576">
        <v>731842007</v>
      </c>
      <c r="B576" t="s">
        <v>926</v>
      </c>
      <c r="C576" t="s">
        <v>63</v>
      </c>
      <c r="D576" t="s">
        <v>64</v>
      </c>
      <c r="E576" s="30" t="s">
        <v>14</v>
      </c>
      <c r="F576" s="31">
        <v>0</v>
      </c>
      <c r="G576" s="31">
        <v>0</v>
      </c>
      <c r="H576" s="31">
        <v>0</v>
      </c>
      <c r="I576" s="31">
        <v>1</v>
      </c>
      <c r="J576" s="31">
        <f t="shared" si="34"/>
        <v>1</v>
      </c>
      <c r="K576" s="28">
        <v>848000</v>
      </c>
      <c r="L576" s="29">
        <v>0.81</v>
      </c>
      <c r="M576" s="31">
        <f t="shared" si="35"/>
        <v>686880</v>
      </c>
      <c r="N576" s="28">
        <f t="shared" si="36"/>
        <v>161119.99999999994</v>
      </c>
      <c r="O576" s="28">
        <v>593600</v>
      </c>
    </row>
    <row r="577" spans="1:15" x14ac:dyDescent="0.35">
      <c r="A577">
        <v>731843003</v>
      </c>
      <c r="B577" t="s">
        <v>927</v>
      </c>
      <c r="C577" t="s">
        <v>63</v>
      </c>
      <c r="D577" t="s">
        <v>64</v>
      </c>
      <c r="E577" s="30" t="s">
        <v>14</v>
      </c>
      <c r="F577" s="31">
        <v>0</v>
      </c>
      <c r="G577" s="31">
        <v>0</v>
      </c>
      <c r="H577" s="31">
        <v>0</v>
      </c>
      <c r="I577" s="31">
        <v>1</v>
      </c>
      <c r="J577" s="31">
        <f t="shared" si="34"/>
        <v>1</v>
      </c>
      <c r="K577" s="28">
        <v>1798000</v>
      </c>
      <c r="L577" s="29">
        <v>0.81</v>
      </c>
      <c r="M577" s="31">
        <f t="shared" si="35"/>
        <v>1456380</v>
      </c>
      <c r="N577" s="28">
        <f t="shared" si="36"/>
        <v>341619.99999999988</v>
      </c>
      <c r="O577" s="28">
        <v>1258600</v>
      </c>
    </row>
    <row r="578" spans="1:15" x14ac:dyDescent="0.35">
      <c r="A578">
        <v>733586005</v>
      </c>
      <c r="B578" t="s">
        <v>928</v>
      </c>
      <c r="C578" t="s">
        <v>63</v>
      </c>
      <c r="D578" t="s">
        <v>64</v>
      </c>
      <c r="E578" s="30" t="s">
        <v>14</v>
      </c>
      <c r="F578" s="31">
        <v>0</v>
      </c>
      <c r="G578" s="31">
        <v>0</v>
      </c>
      <c r="H578" s="31">
        <v>0</v>
      </c>
      <c r="I578" s="31">
        <v>2</v>
      </c>
      <c r="J578" s="31">
        <f t="shared" si="34"/>
        <v>2</v>
      </c>
      <c r="K578" s="28">
        <v>728000</v>
      </c>
      <c r="L578" s="29">
        <v>0.81</v>
      </c>
      <c r="M578" s="31">
        <f t="shared" si="35"/>
        <v>589680</v>
      </c>
      <c r="N578" s="28">
        <f t="shared" si="36"/>
        <v>138319.99999999997</v>
      </c>
      <c r="O578" s="28">
        <v>218400.00000000003</v>
      </c>
    </row>
    <row r="579" spans="1:15" x14ac:dyDescent="0.35">
      <c r="A579">
        <v>733587005</v>
      </c>
      <c r="B579" t="s">
        <v>929</v>
      </c>
      <c r="C579" t="s">
        <v>63</v>
      </c>
      <c r="D579" t="s">
        <v>64</v>
      </c>
      <c r="E579" s="30" t="s">
        <v>14</v>
      </c>
      <c r="F579" s="31">
        <v>0</v>
      </c>
      <c r="G579" s="31">
        <v>0</v>
      </c>
      <c r="H579" s="31">
        <v>0</v>
      </c>
      <c r="I579" s="31">
        <v>4</v>
      </c>
      <c r="J579" s="31">
        <f t="shared" si="34"/>
        <v>4</v>
      </c>
      <c r="K579" s="28">
        <v>798000</v>
      </c>
      <c r="L579" s="29">
        <v>0.81</v>
      </c>
      <c r="M579" s="31">
        <f t="shared" si="35"/>
        <v>646380</v>
      </c>
      <c r="N579" s="28">
        <f t="shared" ref="N579:N580" si="37">K579*(1-L579)</f>
        <v>151619.99999999997</v>
      </c>
      <c r="O579" s="28">
        <v>239400.00000000003</v>
      </c>
    </row>
    <row r="580" spans="1:15" x14ac:dyDescent="0.35">
      <c r="A580">
        <v>733587006</v>
      </c>
      <c r="B580" t="s">
        <v>930</v>
      </c>
      <c r="C580" t="s">
        <v>63</v>
      </c>
      <c r="D580" t="s">
        <v>64</v>
      </c>
      <c r="E580" s="30" t="s">
        <v>14</v>
      </c>
      <c r="F580" s="31">
        <v>0</v>
      </c>
      <c r="G580" s="31">
        <v>0</v>
      </c>
      <c r="H580" s="31">
        <v>0</v>
      </c>
      <c r="I580" s="31">
        <v>1</v>
      </c>
      <c r="J580" s="31">
        <f t="shared" ref="J580:J643" si="38">SUM(F580:I580)</f>
        <v>1</v>
      </c>
      <c r="K580" s="28">
        <v>798000</v>
      </c>
      <c r="L580" s="29">
        <v>0.81</v>
      </c>
      <c r="M580" s="31">
        <f t="shared" ref="M580:M643" si="39">K580*L580</f>
        <v>646380</v>
      </c>
      <c r="N580" s="28">
        <f t="shared" si="37"/>
        <v>151619.99999999997</v>
      </c>
      <c r="O580" s="28">
        <v>239400.00000000003</v>
      </c>
    </row>
    <row r="581" spans="1:15" x14ac:dyDescent="0.35">
      <c r="A581">
        <v>736497003</v>
      </c>
      <c r="B581" t="s">
        <v>84</v>
      </c>
      <c r="C581" t="s">
        <v>63</v>
      </c>
      <c r="D581" t="s">
        <v>64</v>
      </c>
      <c r="E581" s="30" t="s">
        <v>14</v>
      </c>
      <c r="F581" s="31">
        <v>0</v>
      </c>
      <c r="G581" s="31">
        <v>0</v>
      </c>
      <c r="H581" s="31">
        <v>1</v>
      </c>
      <c r="I581" s="31">
        <v>1</v>
      </c>
      <c r="J581" s="31">
        <f t="shared" si="38"/>
        <v>2</v>
      </c>
      <c r="K581" s="28">
        <v>5198000</v>
      </c>
      <c r="L581" s="29">
        <v>0.45</v>
      </c>
      <c r="M581" s="31">
        <f t="shared" si="39"/>
        <v>2339100</v>
      </c>
      <c r="N581" s="28">
        <f t="shared" ref="N579:N642" si="40">K581*(1-L581)</f>
        <v>2858900</v>
      </c>
      <c r="O581" s="28">
        <v>3638600</v>
      </c>
    </row>
    <row r="582" spans="1:15" x14ac:dyDescent="0.35">
      <c r="A582">
        <v>736497004</v>
      </c>
      <c r="B582" t="s">
        <v>85</v>
      </c>
      <c r="C582" t="s">
        <v>63</v>
      </c>
      <c r="D582" t="s">
        <v>64</v>
      </c>
      <c r="E582" s="30" t="s">
        <v>14</v>
      </c>
      <c r="F582" s="31">
        <v>0</v>
      </c>
      <c r="G582" s="31">
        <v>0</v>
      </c>
      <c r="H582" s="31">
        <v>2</v>
      </c>
      <c r="I582" s="31">
        <v>1</v>
      </c>
      <c r="J582" s="31">
        <f t="shared" si="38"/>
        <v>3</v>
      </c>
      <c r="K582" s="28">
        <v>5198000</v>
      </c>
      <c r="L582" s="29">
        <v>0.45</v>
      </c>
      <c r="M582" s="31">
        <f t="shared" si="39"/>
        <v>2339100</v>
      </c>
      <c r="N582" s="28">
        <f t="shared" si="40"/>
        <v>2858900</v>
      </c>
      <c r="O582" s="28">
        <v>3638600</v>
      </c>
    </row>
    <row r="583" spans="1:15" x14ac:dyDescent="0.35">
      <c r="A583">
        <v>736497005</v>
      </c>
      <c r="B583" t="s">
        <v>86</v>
      </c>
      <c r="C583" t="s">
        <v>63</v>
      </c>
      <c r="D583" t="s">
        <v>64</v>
      </c>
      <c r="E583" s="30" t="s">
        <v>14</v>
      </c>
      <c r="F583" s="31">
        <v>0</v>
      </c>
      <c r="G583" s="31">
        <v>0</v>
      </c>
      <c r="H583" s="31">
        <v>2</v>
      </c>
      <c r="I583" s="31">
        <v>2</v>
      </c>
      <c r="J583" s="31">
        <f t="shared" si="38"/>
        <v>4</v>
      </c>
      <c r="K583" s="28">
        <v>5198000</v>
      </c>
      <c r="L583" s="29">
        <v>0.45</v>
      </c>
      <c r="M583" s="31">
        <f t="shared" si="39"/>
        <v>2339100</v>
      </c>
      <c r="N583" s="28">
        <f t="shared" si="40"/>
        <v>2858900</v>
      </c>
      <c r="O583" s="28">
        <v>3638600</v>
      </c>
    </row>
    <row r="584" spans="1:15" x14ac:dyDescent="0.35">
      <c r="A584">
        <v>736768001</v>
      </c>
      <c r="B584" t="s">
        <v>87</v>
      </c>
      <c r="C584" t="s">
        <v>63</v>
      </c>
      <c r="D584" t="s">
        <v>64</v>
      </c>
      <c r="E584" s="30" t="s">
        <v>14</v>
      </c>
      <c r="F584" s="31">
        <v>0</v>
      </c>
      <c r="G584" s="31">
        <v>0</v>
      </c>
      <c r="H584" s="31">
        <v>2</v>
      </c>
      <c r="I584" s="31">
        <v>1</v>
      </c>
      <c r="J584" s="31">
        <f t="shared" si="38"/>
        <v>3</v>
      </c>
      <c r="K584" s="28">
        <v>5498000</v>
      </c>
      <c r="L584" s="29">
        <v>0.45</v>
      </c>
      <c r="M584" s="31">
        <f t="shared" si="39"/>
        <v>2474100</v>
      </c>
      <c r="N584" s="28">
        <f t="shared" si="40"/>
        <v>3023900.0000000005</v>
      </c>
      <c r="O584" s="28">
        <v>3848599.9999999995</v>
      </c>
    </row>
    <row r="585" spans="1:15" x14ac:dyDescent="0.35">
      <c r="A585">
        <v>736768004</v>
      </c>
      <c r="B585" t="s">
        <v>88</v>
      </c>
      <c r="C585" t="s">
        <v>63</v>
      </c>
      <c r="D585" t="s">
        <v>64</v>
      </c>
      <c r="E585" s="30" t="s">
        <v>14</v>
      </c>
      <c r="F585" s="31">
        <v>0</v>
      </c>
      <c r="G585" s="31">
        <v>0</v>
      </c>
      <c r="H585" s="31">
        <v>2</v>
      </c>
      <c r="I585" s="31">
        <v>2</v>
      </c>
      <c r="J585" s="31">
        <f t="shared" si="38"/>
        <v>4</v>
      </c>
      <c r="K585" s="28">
        <v>5498000</v>
      </c>
      <c r="L585" s="29">
        <v>0.45</v>
      </c>
      <c r="M585" s="31">
        <f t="shared" si="39"/>
        <v>2474100</v>
      </c>
      <c r="N585" s="28">
        <f t="shared" si="40"/>
        <v>3023900.0000000005</v>
      </c>
      <c r="O585" s="28">
        <v>3848599.9999999995</v>
      </c>
    </row>
    <row r="586" spans="1:15" x14ac:dyDescent="0.35">
      <c r="A586">
        <v>737803003</v>
      </c>
      <c r="B586" t="s">
        <v>1867</v>
      </c>
      <c r="C586" t="s">
        <v>63</v>
      </c>
      <c r="D586" t="s">
        <v>64</v>
      </c>
      <c r="E586" s="30" t="s">
        <v>14</v>
      </c>
      <c r="F586" s="31">
        <v>0</v>
      </c>
      <c r="G586" s="31">
        <v>0</v>
      </c>
      <c r="H586" s="31">
        <v>0</v>
      </c>
      <c r="I586" s="31">
        <v>1</v>
      </c>
      <c r="J586" s="31">
        <f t="shared" si="38"/>
        <v>1</v>
      </c>
      <c r="K586" s="28">
        <v>3698000</v>
      </c>
      <c r="L586" s="29">
        <v>0.81</v>
      </c>
      <c r="M586" s="31">
        <f t="shared" si="39"/>
        <v>2995380</v>
      </c>
      <c r="N586" s="28">
        <f t="shared" si="40"/>
        <v>702619.99999999977</v>
      </c>
    </row>
    <row r="587" spans="1:15" x14ac:dyDescent="0.35">
      <c r="A587">
        <v>740039001</v>
      </c>
      <c r="B587" t="s">
        <v>1868</v>
      </c>
      <c r="C587" t="s">
        <v>63</v>
      </c>
      <c r="D587" t="s">
        <v>64</v>
      </c>
      <c r="E587" s="30" t="s">
        <v>14</v>
      </c>
      <c r="F587" s="31">
        <v>0</v>
      </c>
      <c r="G587" s="31">
        <v>0</v>
      </c>
      <c r="H587" s="31">
        <v>0</v>
      </c>
      <c r="I587" s="31">
        <v>1</v>
      </c>
      <c r="J587" s="31">
        <f t="shared" si="38"/>
        <v>1</v>
      </c>
      <c r="K587" s="28">
        <v>2498000</v>
      </c>
      <c r="L587" s="29">
        <v>0.45</v>
      </c>
      <c r="M587" s="31">
        <f t="shared" si="39"/>
        <v>1124100</v>
      </c>
      <c r="N587" s="28">
        <f t="shared" si="40"/>
        <v>1373900</v>
      </c>
    </row>
    <row r="588" spans="1:15" x14ac:dyDescent="0.35">
      <c r="A588">
        <v>740039002</v>
      </c>
      <c r="B588" t="s">
        <v>1869</v>
      </c>
      <c r="C588" t="s">
        <v>63</v>
      </c>
      <c r="D588" t="s">
        <v>64</v>
      </c>
      <c r="E588" s="30" t="s">
        <v>14</v>
      </c>
      <c r="F588" s="31">
        <v>0</v>
      </c>
      <c r="G588" s="31">
        <v>0</v>
      </c>
      <c r="H588" s="31">
        <v>1</v>
      </c>
      <c r="I588" s="31">
        <v>1</v>
      </c>
      <c r="J588" s="31">
        <f t="shared" si="38"/>
        <v>2</v>
      </c>
      <c r="K588" s="28">
        <v>2498000</v>
      </c>
      <c r="L588" s="29">
        <v>0.45</v>
      </c>
      <c r="M588" s="31">
        <f t="shared" si="39"/>
        <v>1124100</v>
      </c>
      <c r="N588" s="28">
        <f t="shared" si="40"/>
        <v>1373900</v>
      </c>
    </row>
    <row r="589" spans="1:15" x14ac:dyDescent="0.35">
      <c r="A589">
        <v>740039003</v>
      </c>
      <c r="B589" t="s">
        <v>1870</v>
      </c>
      <c r="C589" t="s">
        <v>63</v>
      </c>
      <c r="D589" t="s">
        <v>64</v>
      </c>
      <c r="E589" s="30" t="s">
        <v>14</v>
      </c>
      <c r="F589" s="31">
        <v>0</v>
      </c>
      <c r="G589" s="31">
        <v>0</v>
      </c>
      <c r="H589" s="31">
        <v>0</v>
      </c>
      <c r="I589" s="31">
        <v>1</v>
      </c>
      <c r="J589" s="31">
        <f t="shared" si="38"/>
        <v>1</v>
      </c>
      <c r="K589" s="28">
        <v>2498000</v>
      </c>
      <c r="L589" s="29">
        <v>0.45</v>
      </c>
      <c r="M589" s="31">
        <f t="shared" si="39"/>
        <v>1124100</v>
      </c>
      <c r="N589" s="28">
        <f t="shared" si="40"/>
        <v>1373900</v>
      </c>
    </row>
    <row r="590" spans="1:15" x14ac:dyDescent="0.35">
      <c r="A590">
        <v>740039004</v>
      </c>
      <c r="B590" t="s">
        <v>1871</v>
      </c>
      <c r="C590" t="s">
        <v>63</v>
      </c>
      <c r="D590" t="s">
        <v>64</v>
      </c>
      <c r="E590" s="30" t="s">
        <v>14</v>
      </c>
      <c r="F590" s="31">
        <v>0</v>
      </c>
      <c r="G590" s="31">
        <v>0</v>
      </c>
      <c r="H590" s="31">
        <v>2</v>
      </c>
      <c r="I590" s="31">
        <v>1</v>
      </c>
      <c r="J590" s="31">
        <f t="shared" si="38"/>
        <v>3</v>
      </c>
      <c r="K590" s="28">
        <v>2498000</v>
      </c>
      <c r="L590" s="29">
        <v>0.45</v>
      </c>
      <c r="M590" s="31">
        <f t="shared" si="39"/>
        <v>1124100</v>
      </c>
      <c r="N590" s="28">
        <f t="shared" si="40"/>
        <v>1373900</v>
      </c>
    </row>
    <row r="591" spans="1:15" x14ac:dyDescent="0.35">
      <c r="A591">
        <v>740039005</v>
      </c>
      <c r="B591" t="s">
        <v>1872</v>
      </c>
      <c r="C591" t="s">
        <v>63</v>
      </c>
      <c r="D591" t="s">
        <v>64</v>
      </c>
      <c r="E591" s="30" t="s">
        <v>14</v>
      </c>
      <c r="F591" s="31">
        <v>0</v>
      </c>
      <c r="G591" s="31">
        <v>1</v>
      </c>
      <c r="H591" s="31">
        <v>0</v>
      </c>
      <c r="I591" s="31">
        <v>1</v>
      </c>
      <c r="J591" s="31">
        <f t="shared" si="38"/>
        <v>2</v>
      </c>
      <c r="K591" s="28">
        <v>2498000</v>
      </c>
      <c r="L591" s="29">
        <v>0.45</v>
      </c>
      <c r="M591" s="31">
        <f t="shared" si="39"/>
        <v>1124100</v>
      </c>
      <c r="N591" s="28">
        <f t="shared" si="40"/>
        <v>1373900</v>
      </c>
    </row>
    <row r="592" spans="1:15" x14ac:dyDescent="0.35">
      <c r="A592">
        <v>726106001</v>
      </c>
      <c r="B592" t="s">
        <v>1873</v>
      </c>
      <c r="C592" t="s">
        <v>391</v>
      </c>
      <c r="D592" t="s">
        <v>64</v>
      </c>
      <c r="E592" s="30" t="s">
        <v>14</v>
      </c>
      <c r="F592" s="31">
        <v>0</v>
      </c>
      <c r="G592" s="31">
        <v>0</v>
      </c>
      <c r="H592" s="31">
        <v>0</v>
      </c>
      <c r="I592" s="31">
        <v>1</v>
      </c>
      <c r="J592" s="31">
        <f t="shared" si="38"/>
        <v>1</v>
      </c>
      <c r="K592" s="28">
        <v>448000</v>
      </c>
      <c r="L592" s="29">
        <v>0.81</v>
      </c>
      <c r="M592" s="31">
        <f t="shared" si="39"/>
        <v>362880</v>
      </c>
      <c r="N592" s="28">
        <f t="shared" si="40"/>
        <v>85119.999999999971</v>
      </c>
    </row>
    <row r="593" spans="1:15" x14ac:dyDescent="0.35">
      <c r="A593">
        <v>726106002</v>
      </c>
      <c r="B593" t="s">
        <v>1874</v>
      </c>
      <c r="C593" t="s">
        <v>391</v>
      </c>
      <c r="D593" t="s">
        <v>64</v>
      </c>
      <c r="E593" s="30" t="s">
        <v>14</v>
      </c>
      <c r="F593" s="31">
        <v>0</v>
      </c>
      <c r="G593" s="31">
        <v>0</v>
      </c>
      <c r="H593" s="31">
        <v>0</v>
      </c>
      <c r="I593" s="31">
        <v>1</v>
      </c>
      <c r="J593" s="31">
        <f t="shared" si="38"/>
        <v>1</v>
      </c>
      <c r="K593" s="28">
        <v>448000</v>
      </c>
      <c r="L593" s="29">
        <v>0.81</v>
      </c>
      <c r="M593" s="31">
        <f t="shared" si="39"/>
        <v>362880</v>
      </c>
      <c r="N593" s="28">
        <f t="shared" si="40"/>
        <v>85119.999999999971</v>
      </c>
    </row>
    <row r="594" spans="1:15" x14ac:dyDescent="0.35">
      <c r="A594">
        <v>726106003</v>
      </c>
      <c r="B594" t="s">
        <v>1875</v>
      </c>
      <c r="C594" t="s">
        <v>391</v>
      </c>
      <c r="D594" t="s">
        <v>64</v>
      </c>
      <c r="E594" s="30" t="s">
        <v>14</v>
      </c>
      <c r="F594" s="31">
        <v>0</v>
      </c>
      <c r="G594" s="31">
        <v>0</v>
      </c>
      <c r="H594" s="31">
        <v>0</v>
      </c>
      <c r="I594" s="31">
        <v>1</v>
      </c>
      <c r="J594" s="31">
        <f t="shared" si="38"/>
        <v>1</v>
      </c>
      <c r="K594" s="28">
        <v>448000</v>
      </c>
      <c r="L594" s="29">
        <v>0.81</v>
      </c>
      <c r="M594" s="31">
        <f t="shared" si="39"/>
        <v>362880</v>
      </c>
      <c r="N594" s="28">
        <f t="shared" si="40"/>
        <v>85119.999999999971</v>
      </c>
    </row>
    <row r="595" spans="1:15" x14ac:dyDescent="0.35">
      <c r="A595">
        <v>726109001</v>
      </c>
      <c r="B595" t="s">
        <v>1876</v>
      </c>
      <c r="C595" t="s">
        <v>391</v>
      </c>
      <c r="D595" t="s">
        <v>64</v>
      </c>
      <c r="E595" s="30" t="s">
        <v>14</v>
      </c>
      <c r="F595" s="31">
        <v>0</v>
      </c>
      <c r="G595" s="31">
        <v>0</v>
      </c>
      <c r="H595" s="31">
        <v>0</v>
      </c>
      <c r="I595" s="31">
        <v>5</v>
      </c>
      <c r="J595" s="31">
        <f t="shared" si="38"/>
        <v>5</v>
      </c>
      <c r="K595" s="28">
        <v>548000</v>
      </c>
      <c r="L595" s="29">
        <v>0.81</v>
      </c>
      <c r="M595" s="31">
        <f t="shared" si="39"/>
        <v>443880.00000000006</v>
      </c>
      <c r="N595" s="28">
        <f t="shared" si="40"/>
        <v>104119.99999999997</v>
      </c>
    </row>
    <row r="596" spans="1:15" x14ac:dyDescent="0.35">
      <c r="A596">
        <v>726109002</v>
      </c>
      <c r="B596" t="s">
        <v>1877</v>
      </c>
      <c r="C596" t="s">
        <v>391</v>
      </c>
      <c r="D596" t="s">
        <v>64</v>
      </c>
      <c r="E596" s="30" t="s">
        <v>14</v>
      </c>
      <c r="F596" s="31">
        <v>0</v>
      </c>
      <c r="G596" s="31">
        <v>0</v>
      </c>
      <c r="H596" s="31">
        <v>0</v>
      </c>
      <c r="I596" s="31">
        <v>5</v>
      </c>
      <c r="J596" s="31">
        <f t="shared" si="38"/>
        <v>5</v>
      </c>
      <c r="K596" s="28">
        <v>548000</v>
      </c>
      <c r="L596" s="29">
        <v>0.81</v>
      </c>
      <c r="M596" s="31">
        <f t="shared" si="39"/>
        <v>443880.00000000006</v>
      </c>
      <c r="N596" s="28">
        <f t="shared" si="40"/>
        <v>104119.99999999997</v>
      </c>
    </row>
    <row r="597" spans="1:15" x14ac:dyDescent="0.35">
      <c r="A597">
        <v>726109003</v>
      </c>
      <c r="B597" t="s">
        <v>1878</v>
      </c>
      <c r="C597" t="s">
        <v>391</v>
      </c>
      <c r="D597" t="s">
        <v>64</v>
      </c>
      <c r="E597" s="30" t="s">
        <v>14</v>
      </c>
      <c r="F597" s="31">
        <v>0</v>
      </c>
      <c r="G597" s="31">
        <v>0</v>
      </c>
      <c r="H597" s="31">
        <v>0</v>
      </c>
      <c r="I597" s="31">
        <v>13</v>
      </c>
      <c r="J597" s="31">
        <f t="shared" si="38"/>
        <v>13</v>
      </c>
      <c r="K597" s="28">
        <v>548000</v>
      </c>
      <c r="L597" s="29">
        <v>0.81</v>
      </c>
      <c r="M597" s="31">
        <f t="shared" si="39"/>
        <v>443880.00000000006</v>
      </c>
      <c r="N597" s="28">
        <f t="shared" si="40"/>
        <v>104119.99999999997</v>
      </c>
    </row>
    <row r="598" spans="1:15" x14ac:dyDescent="0.35">
      <c r="A598">
        <v>726109004</v>
      </c>
      <c r="B598" t="s">
        <v>1879</v>
      </c>
      <c r="C598" t="s">
        <v>391</v>
      </c>
      <c r="D598" t="s">
        <v>64</v>
      </c>
      <c r="E598" s="30" t="s">
        <v>14</v>
      </c>
      <c r="F598" s="31">
        <v>0</v>
      </c>
      <c r="G598" s="31">
        <v>0</v>
      </c>
      <c r="H598" s="31">
        <v>0</v>
      </c>
      <c r="I598" s="31">
        <v>6</v>
      </c>
      <c r="J598" s="31">
        <f t="shared" si="38"/>
        <v>6</v>
      </c>
      <c r="K598" s="28">
        <v>548000</v>
      </c>
      <c r="L598" s="29">
        <v>0.81</v>
      </c>
      <c r="M598" s="31">
        <f t="shared" si="39"/>
        <v>443880.00000000006</v>
      </c>
      <c r="N598" s="28">
        <f t="shared" si="40"/>
        <v>104119.99999999997</v>
      </c>
    </row>
    <row r="599" spans="1:15" x14ac:dyDescent="0.35">
      <c r="A599">
        <v>726109005</v>
      </c>
      <c r="B599" t="s">
        <v>1880</v>
      </c>
      <c r="C599" t="s">
        <v>391</v>
      </c>
      <c r="D599" t="s">
        <v>64</v>
      </c>
      <c r="E599" s="30" t="s">
        <v>14</v>
      </c>
      <c r="F599" s="31">
        <v>0</v>
      </c>
      <c r="G599" s="31">
        <v>0</v>
      </c>
      <c r="H599" s="31">
        <v>0</v>
      </c>
      <c r="I599" s="31">
        <v>7</v>
      </c>
      <c r="J599" s="31">
        <f t="shared" si="38"/>
        <v>7</v>
      </c>
      <c r="K599" s="28">
        <v>548000</v>
      </c>
      <c r="L599" s="29">
        <v>0.81</v>
      </c>
      <c r="M599" s="31">
        <f t="shared" si="39"/>
        <v>443880.00000000006</v>
      </c>
      <c r="N599" s="28">
        <f t="shared" si="40"/>
        <v>104119.99999999997</v>
      </c>
    </row>
    <row r="600" spans="1:15" x14ac:dyDescent="0.35">
      <c r="A600">
        <v>726109006</v>
      </c>
      <c r="B600" t="s">
        <v>1881</v>
      </c>
      <c r="C600" t="s">
        <v>391</v>
      </c>
      <c r="D600" t="s">
        <v>64</v>
      </c>
      <c r="E600" s="30" t="s">
        <v>14</v>
      </c>
      <c r="F600" s="31">
        <v>0</v>
      </c>
      <c r="G600" s="31">
        <v>0</v>
      </c>
      <c r="H600" s="31">
        <v>0</v>
      </c>
      <c r="I600" s="31">
        <v>10</v>
      </c>
      <c r="J600" s="31">
        <f t="shared" si="38"/>
        <v>10</v>
      </c>
      <c r="K600" s="28">
        <v>548000</v>
      </c>
      <c r="L600" s="29">
        <v>0.81</v>
      </c>
      <c r="M600" s="31">
        <f t="shared" si="39"/>
        <v>443880.00000000006</v>
      </c>
      <c r="N600" s="28">
        <f t="shared" si="40"/>
        <v>104119.99999999997</v>
      </c>
    </row>
    <row r="601" spans="1:15" x14ac:dyDescent="0.35">
      <c r="A601">
        <v>726110001</v>
      </c>
      <c r="B601" t="s">
        <v>1882</v>
      </c>
      <c r="C601" t="s">
        <v>391</v>
      </c>
      <c r="D601" t="s">
        <v>64</v>
      </c>
      <c r="E601" s="30" t="s">
        <v>14</v>
      </c>
      <c r="F601" s="31">
        <v>0</v>
      </c>
      <c r="G601" s="31">
        <v>0</v>
      </c>
      <c r="H601" s="31">
        <v>0</v>
      </c>
      <c r="I601" s="31">
        <v>16</v>
      </c>
      <c r="J601" s="31">
        <f t="shared" si="38"/>
        <v>16</v>
      </c>
      <c r="K601" s="28">
        <v>498000</v>
      </c>
      <c r="L601" s="29">
        <v>0.45</v>
      </c>
      <c r="M601" s="31">
        <f t="shared" si="39"/>
        <v>224100</v>
      </c>
      <c r="N601" s="28">
        <f t="shared" si="40"/>
        <v>273900</v>
      </c>
    </row>
    <row r="602" spans="1:15" x14ac:dyDescent="0.35">
      <c r="A602">
        <v>726110002</v>
      </c>
      <c r="B602" t="s">
        <v>1883</v>
      </c>
      <c r="C602" t="s">
        <v>391</v>
      </c>
      <c r="D602" t="s">
        <v>64</v>
      </c>
      <c r="E602" s="30" t="s">
        <v>14</v>
      </c>
      <c r="F602" s="31">
        <v>0</v>
      </c>
      <c r="G602" s="31">
        <v>0</v>
      </c>
      <c r="H602" s="31">
        <v>0</v>
      </c>
      <c r="I602" s="31">
        <v>44</v>
      </c>
      <c r="J602" s="31">
        <f t="shared" si="38"/>
        <v>44</v>
      </c>
      <c r="K602" s="28">
        <v>498000</v>
      </c>
      <c r="L602" s="29">
        <v>0.45</v>
      </c>
      <c r="M602" s="31">
        <f t="shared" si="39"/>
        <v>224100</v>
      </c>
      <c r="N602" s="28">
        <f t="shared" si="40"/>
        <v>273900</v>
      </c>
    </row>
    <row r="603" spans="1:15" x14ac:dyDescent="0.35">
      <c r="A603">
        <v>726579003</v>
      </c>
      <c r="B603" t="s">
        <v>1884</v>
      </c>
      <c r="C603" t="s">
        <v>391</v>
      </c>
      <c r="D603" t="s">
        <v>64</v>
      </c>
      <c r="E603" s="30" t="s">
        <v>14</v>
      </c>
      <c r="F603" s="31">
        <v>0</v>
      </c>
      <c r="G603" s="31">
        <v>0</v>
      </c>
      <c r="H603" s="31">
        <v>0</v>
      </c>
      <c r="I603" s="31">
        <v>4</v>
      </c>
      <c r="J603" s="31">
        <f t="shared" si="38"/>
        <v>4</v>
      </c>
      <c r="K603" s="28">
        <v>598000</v>
      </c>
      <c r="L603" s="29">
        <v>0.81</v>
      </c>
      <c r="M603" s="31">
        <f t="shared" si="39"/>
        <v>484380.00000000006</v>
      </c>
      <c r="N603" s="28">
        <f t="shared" si="40"/>
        <v>113619.99999999997</v>
      </c>
    </row>
    <row r="604" spans="1:15" x14ac:dyDescent="0.35">
      <c r="A604">
        <v>726579006</v>
      </c>
      <c r="B604" t="s">
        <v>1885</v>
      </c>
      <c r="C604" t="s">
        <v>391</v>
      </c>
      <c r="D604" t="s">
        <v>64</v>
      </c>
      <c r="E604" s="30" t="s">
        <v>14</v>
      </c>
      <c r="F604" s="31">
        <v>0</v>
      </c>
      <c r="G604" s="31">
        <v>0</v>
      </c>
      <c r="H604" s="31">
        <v>0</v>
      </c>
      <c r="I604" s="31">
        <v>1</v>
      </c>
      <c r="J604" s="31">
        <f t="shared" si="38"/>
        <v>1</v>
      </c>
      <c r="K604" s="28">
        <v>598000</v>
      </c>
      <c r="L604" s="29">
        <v>0.81</v>
      </c>
      <c r="M604" s="31">
        <f t="shared" si="39"/>
        <v>484380.00000000006</v>
      </c>
      <c r="N604" s="28">
        <f t="shared" si="40"/>
        <v>113619.99999999997</v>
      </c>
    </row>
    <row r="605" spans="1:15" x14ac:dyDescent="0.35">
      <c r="A605">
        <v>726765007</v>
      </c>
      <c r="B605" t="s">
        <v>1886</v>
      </c>
      <c r="C605" t="s">
        <v>391</v>
      </c>
      <c r="D605" t="s">
        <v>64</v>
      </c>
      <c r="E605" s="30" t="s">
        <v>14</v>
      </c>
      <c r="F605" s="31">
        <v>0</v>
      </c>
      <c r="G605" s="31">
        <v>0</v>
      </c>
      <c r="H605" s="31">
        <v>0</v>
      </c>
      <c r="I605" s="31">
        <v>1</v>
      </c>
      <c r="J605" s="31">
        <f t="shared" si="38"/>
        <v>1</v>
      </c>
      <c r="K605" s="28">
        <v>598000</v>
      </c>
      <c r="L605" s="29">
        <v>0.81</v>
      </c>
      <c r="M605" s="31">
        <f t="shared" si="39"/>
        <v>484380.00000000006</v>
      </c>
      <c r="N605" s="28">
        <f t="shared" si="40"/>
        <v>113619.99999999997</v>
      </c>
    </row>
    <row r="606" spans="1:15" x14ac:dyDescent="0.35">
      <c r="A606">
        <v>726765008</v>
      </c>
      <c r="B606" t="s">
        <v>1887</v>
      </c>
      <c r="C606" t="s">
        <v>391</v>
      </c>
      <c r="D606" t="s">
        <v>64</v>
      </c>
      <c r="E606" s="30" t="s">
        <v>14</v>
      </c>
      <c r="F606" s="31">
        <v>0</v>
      </c>
      <c r="G606" s="31">
        <v>0</v>
      </c>
      <c r="H606" s="31">
        <v>0</v>
      </c>
      <c r="I606" s="31">
        <v>1</v>
      </c>
      <c r="J606" s="31">
        <f t="shared" si="38"/>
        <v>1</v>
      </c>
      <c r="K606" s="28">
        <v>598000</v>
      </c>
      <c r="L606" s="29">
        <v>0.81</v>
      </c>
      <c r="M606" s="31">
        <f t="shared" si="39"/>
        <v>484380.00000000006</v>
      </c>
      <c r="N606" s="28">
        <f t="shared" si="40"/>
        <v>113619.99999999997</v>
      </c>
    </row>
    <row r="607" spans="1:15" x14ac:dyDescent="0.35">
      <c r="A607">
        <v>728423008</v>
      </c>
      <c r="B607" t="s">
        <v>968</v>
      </c>
      <c r="C607" t="s">
        <v>368</v>
      </c>
      <c r="D607" t="s">
        <v>64</v>
      </c>
      <c r="E607" s="30" t="s">
        <v>14</v>
      </c>
      <c r="F607" s="31">
        <v>0</v>
      </c>
      <c r="G607" s="31">
        <v>0</v>
      </c>
      <c r="H607" s="31">
        <v>0</v>
      </c>
      <c r="I607" s="31">
        <v>1</v>
      </c>
      <c r="J607" s="31">
        <f t="shared" si="38"/>
        <v>1</v>
      </c>
      <c r="K607" s="28">
        <v>228000</v>
      </c>
      <c r="L607" s="29">
        <v>0.81</v>
      </c>
      <c r="M607" s="31">
        <f t="shared" si="39"/>
        <v>184680</v>
      </c>
      <c r="N607" s="28">
        <f t="shared" si="40"/>
        <v>43319.999999999985</v>
      </c>
      <c r="O607" s="28">
        <v>114000</v>
      </c>
    </row>
    <row r="608" spans="1:15" x14ac:dyDescent="0.35">
      <c r="A608">
        <v>728423017</v>
      </c>
      <c r="B608" t="s">
        <v>969</v>
      </c>
      <c r="C608" t="s">
        <v>368</v>
      </c>
      <c r="D608" t="s">
        <v>64</v>
      </c>
      <c r="E608" s="30" t="s">
        <v>14</v>
      </c>
      <c r="F608" s="31">
        <v>0</v>
      </c>
      <c r="G608" s="31">
        <v>0</v>
      </c>
      <c r="H608" s="31">
        <v>0</v>
      </c>
      <c r="I608" s="31">
        <v>1</v>
      </c>
      <c r="J608" s="31">
        <f t="shared" si="38"/>
        <v>1</v>
      </c>
      <c r="K608" s="28">
        <v>228000</v>
      </c>
      <c r="L608" s="29">
        <v>0.81</v>
      </c>
      <c r="M608" s="31">
        <f t="shared" si="39"/>
        <v>184680</v>
      </c>
      <c r="N608" s="28">
        <f t="shared" si="40"/>
        <v>43319.999999999985</v>
      </c>
      <c r="O608" s="28">
        <v>114000</v>
      </c>
    </row>
    <row r="609" spans="1:15" x14ac:dyDescent="0.35">
      <c r="A609">
        <v>728869002</v>
      </c>
      <c r="B609" t="s">
        <v>971</v>
      </c>
      <c r="C609" t="s">
        <v>368</v>
      </c>
      <c r="D609" t="s">
        <v>64</v>
      </c>
      <c r="E609" s="30" t="s">
        <v>14</v>
      </c>
      <c r="F609" s="31">
        <v>0</v>
      </c>
      <c r="G609" s="31">
        <v>0</v>
      </c>
      <c r="H609" s="31">
        <v>0</v>
      </c>
      <c r="I609" s="31">
        <v>2</v>
      </c>
      <c r="J609" s="31">
        <f t="shared" si="38"/>
        <v>2</v>
      </c>
      <c r="K609" s="28">
        <v>248000</v>
      </c>
      <c r="L609" s="29">
        <v>0.81</v>
      </c>
      <c r="M609" s="31">
        <f t="shared" si="39"/>
        <v>200880</v>
      </c>
      <c r="N609" s="28">
        <f t="shared" si="40"/>
        <v>47119.999999999985</v>
      </c>
      <c r="O609" s="28">
        <v>173600</v>
      </c>
    </row>
    <row r="610" spans="1:15" x14ac:dyDescent="0.35">
      <c r="A610">
        <v>732369002</v>
      </c>
      <c r="B610" t="s">
        <v>1888</v>
      </c>
      <c r="C610" t="s">
        <v>368</v>
      </c>
      <c r="D610" t="s">
        <v>64</v>
      </c>
      <c r="E610" s="30" t="s">
        <v>14</v>
      </c>
      <c r="F610" s="31">
        <v>0</v>
      </c>
      <c r="G610" s="31">
        <v>0</v>
      </c>
      <c r="H610" s="31">
        <v>0</v>
      </c>
      <c r="I610" s="31">
        <v>29</v>
      </c>
      <c r="J610" s="31">
        <f t="shared" si="38"/>
        <v>29</v>
      </c>
      <c r="K610" s="28">
        <v>158000</v>
      </c>
      <c r="L610" s="29">
        <v>0.45</v>
      </c>
      <c r="M610" s="31">
        <f t="shared" si="39"/>
        <v>71100</v>
      </c>
      <c r="N610" s="28">
        <f t="shared" si="40"/>
        <v>86900</v>
      </c>
    </row>
    <row r="611" spans="1:15" x14ac:dyDescent="0.35">
      <c r="A611">
        <v>732369003</v>
      </c>
      <c r="B611" t="s">
        <v>1889</v>
      </c>
      <c r="C611" t="s">
        <v>368</v>
      </c>
      <c r="D611" t="s">
        <v>64</v>
      </c>
      <c r="E611" s="30" t="s">
        <v>14</v>
      </c>
      <c r="F611" s="31">
        <v>0</v>
      </c>
      <c r="G611" s="31">
        <v>0</v>
      </c>
      <c r="H611" s="31">
        <v>0</v>
      </c>
      <c r="I611" s="31">
        <v>1</v>
      </c>
      <c r="J611" s="31">
        <f t="shared" si="38"/>
        <v>1</v>
      </c>
      <c r="K611" s="28">
        <v>158000</v>
      </c>
      <c r="L611" s="29">
        <v>0.45</v>
      </c>
      <c r="M611" s="31">
        <f t="shared" si="39"/>
        <v>71100</v>
      </c>
      <c r="N611" s="28">
        <f t="shared" si="40"/>
        <v>86900</v>
      </c>
    </row>
    <row r="612" spans="1:15" x14ac:dyDescent="0.35">
      <c r="A612">
        <v>732904003</v>
      </c>
      <c r="B612" t="s">
        <v>972</v>
      </c>
      <c r="C612" t="s">
        <v>368</v>
      </c>
      <c r="D612" t="s">
        <v>64</v>
      </c>
      <c r="E612" s="30" t="s">
        <v>14</v>
      </c>
      <c r="F612" s="31">
        <v>0</v>
      </c>
      <c r="G612" s="31">
        <v>0</v>
      </c>
      <c r="H612" s="31">
        <v>0</v>
      </c>
      <c r="I612" s="31">
        <v>1</v>
      </c>
      <c r="J612" s="31">
        <f t="shared" si="38"/>
        <v>1</v>
      </c>
      <c r="K612" s="28">
        <v>428000</v>
      </c>
      <c r="L612" s="29">
        <v>0.81</v>
      </c>
      <c r="M612" s="31">
        <f t="shared" si="39"/>
        <v>346680</v>
      </c>
      <c r="N612" s="28">
        <f t="shared" si="40"/>
        <v>81319.999999999971</v>
      </c>
      <c r="O612" s="28">
        <v>299600</v>
      </c>
    </row>
    <row r="613" spans="1:15" x14ac:dyDescent="0.35">
      <c r="A613">
        <v>732904005</v>
      </c>
      <c r="B613" t="s">
        <v>973</v>
      </c>
      <c r="C613" t="s">
        <v>368</v>
      </c>
      <c r="D613" t="s">
        <v>64</v>
      </c>
      <c r="E613" s="30" t="s">
        <v>14</v>
      </c>
      <c r="F613" s="31">
        <v>0</v>
      </c>
      <c r="G613" s="31">
        <v>0</v>
      </c>
      <c r="H613" s="31">
        <v>0</v>
      </c>
      <c r="I613" s="31">
        <v>8</v>
      </c>
      <c r="J613" s="31">
        <f t="shared" si="38"/>
        <v>8</v>
      </c>
      <c r="K613" s="28">
        <v>428000</v>
      </c>
      <c r="L613" s="29">
        <v>0.81</v>
      </c>
      <c r="M613" s="31">
        <f t="shared" si="39"/>
        <v>346680</v>
      </c>
      <c r="N613" s="28">
        <f t="shared" si="40"/>
        <v>81319.999999999971</v>
      </c>
      <c r="O613" s="28">
        <v>299600</v>
      </c>
    </row>
    <row r="614" spans="1:15" x14ac:dyDescent="0.35">
      <c r="A614">
        <v>732904009</v>
      </c>
      <c r="B614" t="s">
        <v>976</v>
      </c>
      <c r="C614" t="s">
        <v>368</v>
      </c>
      <c r="D614" t="s">
        <v>64</v>
      </c>
      <c r="E614" s="30" t="s">
        <v>14</v>
      </c>
      <c r="F614" s="31">
        <v>0</v>
      </c>
      <c r="G614" s="31">
        <v>0</v>
      </c>
      <c r="H614" s="31">
        <v>0</v>
      </c>
      <c r="I614" s="31">
        <v>2</v>
      </c>
      <c r="J614" s="31">
        <f t="shared" si="38"/>
        <v>2</v>
      </c>
      <c r="K614" s="28">
        <v>428000</v>
      </c>
      <c r="L614" s="29">
        <v>0.81</v>
      </c>
      <c r="M614" s="31">
        <f t="shared" si="39"/>
        <v>346680</v>
      </c>
      <c r="N614" s="28">
        <f t="shared" si="40"/>
        <v>81319.999999999971</v>
      </c>
      <c r="O614" s="28">
        <v>299600</v>
      </c>
    </row>
    <row r="615" spans="1:15" x14ac:dyDescent="0.35">
      <c r="A615">
        <v>732991001</v>
      </c>
      <c r="B615" t="s">
        <v>977</v>
      </c>
      <c r="C615" t="s">
        <v>368</v>
      </c>
      <c r="D615" t="s">
        <v>64</v>
      </c>
      <c r="E615" s="30" t="s">
        <v>14</v>
      </c>
      <c r="F615" s="31">
        <v>0</v>
      </c>
      <c r="G615" s="31">
        <v>0</v>
      </c>
      <c r="H615" s="31">
        <v>0</v>
      </c>
      <c r="I615" s="31">
        <v>1</v>
      </c>
      <c r="J615" s="31">
        <f t="shared" si="38"/>
        <v>1</v>
      </c>
      <c r="K615" s="28">
        <v>158000</v>
      </c>
      <c r="L615" s="29">
        <v>0.81</v>
      </c>
      <c r="M615" s="31">
        <f t="shared" si="39"/>
        <v>127980.00000000001</v>
      </c>
      <c r="N615" s="28">
        <f t="shared" si="40"/>
        <v>30019.999999999993</v>
      </c>
      <c r="O615" s="28">
        <v>110600</v>
      </c>
    </row>
    <row r="616" spans="1:15" x14ac:dyDescent="0.35">
      <c r="A616">
        <v>732991002</v>
      </c>
      <c r="B616" t="s">
        <v>978</v>
      </c>
      <c r="C616" t="s">
        <v>368</v>
      </c>
      <c r="D616" t="s">
        <v>64</v>
      </c>
      <c r="E616" s="30" t="s">
        <v>14</v>
      </c>
      <c r="F616" s="31">
        <v>0</v>
      </c>
      <c r="G616" s="31">
        <v>0</v>
      </c>
      <c r="H616" s="31">
        <v>0</v>
      </c>
      <c r="I616" s="31">
        <v>2</v>
      </c>
      <c r="J616" s="31">
        <f t="shared" si="38"/>
        <v>2</v>
      </c>
      <c r="K616" s="28">
        <v>158000</v>
      </c>
      <c r="L616" s="29">
        <v>0.81</v>
      </c>
      <c r="M616" s="31">
        <f t="shared" si="39"/>
        <v>127980.00000000001</v>
      </c>
      <c r="N616" s="28">
        <f t="shared" si="40"/>
        <v>30019.999999999993</v>
      </c>
      <c r="O616" s="28">
        <v>110600</v>
      </c>
    </row>
    <row r="617" spans="1:15" x14ac:dyDescent="0.35">
      <c r="A617">
        <v>739589001</v>
      </c>
      <c r="B617" t="s">
        <v>1890</v>
      </c>
      <c r="C617" t="s">
        <v>368</v>
      </c>
      <c r="D617" t="s">
        <v>64</v>
      </c>
      <c r="E617" s="30" t="s">
        <v>14</v>
      </c>
      <c r="F617" s="31">
        <v>0</v>
      </c>
      <c r="G617" s="31">
        <v>0</v>
      </c>
      <c r="H617" s="31">
        <v>0</v>
      </c>
      <c r="I617" s="31">
        <v>44</v>
      </c>
      <c r="J617" s="31">
        <f t="shared" si="38"/>
        <v>44</v>
      </c>
      <c r="K617" s="28">
        <v>158000</v>
      </c>
      <c r="L617" s="29">
        <v>0.45</v>
      </c>
      <c r="M617" s="31">
        <f t="shared" si="39"/>
        <v>71100</v>
      </c>
      <c r="N617" s="28">
        <f t="shared" si="40"/>
        <v>86900</v>
      </c>
    </row>
    <row r="618" spans="1:15" x14ac:dyDescent="0.35">
      <c r="A618">
        <v>739589002</v>
      </c>
      <c r="B618" t="s">
        <v>1891</v>
      </c>
      <c r="C618" t="s">
        <v>368</v>
      </c>
      <c r="D618" t="s">
        <v>64</v>
      </c>
      <c r="E618" s="30" t="s">
        <v>14</v>
      </c>
      <c r="F618" s="31">
        <v>0</v>
      </c>
      <c r="G618" s="31">
        <v>0</v>
      </c>
      <c r="H618" s="31">
        <v>0</v>
      </c>
      <c r="I618" s="31">
        <v>1</v>
      </c>
      <c r="J618" s="31">
        <f t="shared" si="38"/>
        <v>1</v>
      </c>
      <c r="K618" s="28">
        <v>158000</v>
      </c>
      <c r="L618" s="29">
        <v>0.45</v>
      </c>
      <c r="M618" s="31">
        <f t="shared" si="39"/>
        <v>71100</v>
      </c>
      <c r="N618" s="28">
        <f t="shared" si="40"/>
        <v>86900</v>
      </c>
    </row>
    <row r="619" spans="1:15" x14ac:dyDescent="0.35">
      <c r="A619">
        <v>739590001</v>
      </c>
      <c r="B619" t="s">
        <v>1892</v>
      </c>
      <c r="C619" t="s">
        <v>368</v>
      </c>
      <c r="D619" t="s">
        <v>64</v>
      </c>
      <c r="E619" s="30" t="s">
        <v>14</v>
      </c>
      <c r="F619" s="31">
        <v>0</v>
      </c>
      <c r="G619" s="31">
        <v>0</v>
      </c>
      <c r="H619" s="31">
        <v>0</v>
      </c>
      <c r="I619" s="31">
        <v>7</v>
      </c>
      <c r="J619" s="31">
        <f t="shared" si="38"/>
        <v>7</v>
      </c>
      <c r="K619" s="28">
        <v>158000</v>
      </c>
      <c r="L619" s="29">
        <v>0.81</v>
      </c>
      <c r="M619" s="31">
        <f t="shared" si="39"/>
        <v>127980.00000000001</v>
      </c>
      <c r="N619" s="28">
        <f t="shared" si="40"/>
        <v>30019.999999999993</v>
      </c>
    </row>
    <row r="620" spans="1:15" x14ac:dyDescent="0.35">
      <c r="A620">
        <v>739590002</v>
      </c>
      <c r="B620" t="s">
        <v>1893</v>
      </c>
      <c r="C620" t="s">
        <v>368</v>
      </c>
      <c r="D620" t="s">
        <v>64</v>
      </c>
      <c r="E620" s="30" t="s">
        <v>14</v>
      </c>
      <c r="F620" s="31">
        <v>0</v>
      </c>
      <c r="G620" s="31">
        <v>0</v>
      </c>
      <c r="H620" s="31">
        <v>0</v>
      </c>
      <c r="I620" s="31">
        <v>1</v>
      </c>
      <c r="J620" s="31">
        <f t="shared" si="38"/>
        <v>1</v>
      </c>
      <c r="K620" s="28">
        <v>158000</v>
      </c>
      <c r="L620" s="29">
        <v>0.81</v>
      </c>
      <c r="M620" s="31">
        <f t="shared" si="39"/>
        <v>127980.00000000001</v>
      </c>
      <c r="N620" s="28">
        <f t="shared" si="40"/>
        <v>30019.999999999993</v>
      </c>
    </row>
    <row r="621" spans="1:15" x14ac:dyDescent="0.35">
      <c r="A621">
        <v>741049005</v>
      </c>
      <c r="B621" t="s">
        <v>1894</v>
      </c>
      <c r="C621" t="s">
        <v>368</v>
      </c>
      <c r="D621" t="s">
        <v>64</v>
      </c>
      <c r="E621" s="30" t="s">
        <v>14</v>
      </c>
      <c r="F621" s="31">
        <v>0</v>
      </c>
      <c r="G621" s="31">
        <v>0</v>
      </c>
      <c r="H621" s="31">
        <v>0</v>
      </c>
      <c r="I621" s="31">
        <v>1</v>
      </c>
      <c r="J621" s="31">
        <f t="shared" si="38"/>
        <v>1</v>
      </c>
      <c r="K621" s="28">
        <v>298000</v>
      </c>
      <c r="L621" s="29">
        <v>0.81</v>
      </c>
      <c r="M621" s="31">
        <f t="shared" si="39"/>
        <v>241380.00000000003</v>
      </c>
      <c r="N621" s="28">
        <f t="shared" si="40"/>
        <v>56619.999999999985</v>
      </c>
    </row>
    <row r="622" spans="1:15" x14ac:dyDescent="0.35">
      <c r="A622">
        <v>729258008</v>
      </c>
      <c r="B622" t="s">
        <v>984</v>
      </c>
      <c r="C622" t="s">
        <v>89</v>
      </c>
      <c r="D622" t="s">
        <v>64</v>
      </c>
      <c r="E622" s="30" t="s">
        <v>14</v>
      </c>
      <c r="F622" s="31">
        <v>0</v>
      </c>
      <c r="G622" s="31">
        <v>0</v>
      </c>
      <c r="H622" s="31">
        <v>0</v>
      </c>
      <c r="I622" s="31">
        <v>1</v>
      </c>
      <c r="J622" s="31">
        <f t="shared" si="38"/>
        <v>1</v>
      </c>
      <c r="K622" s="28">
        <v>528000</v>
      </c>
      <c r="L622" s="29">
        <v>0.81</v>
      </c>
      <c r="M622" s="31">
        <f t="shared" si="39"/>
        <v>427680</v>
      </c>
      <c r="N622" s="28">
        <f t="shared" si="40"/>
        <v>100319.99999999997</v>
      </c>
      <c r="O622" s="28">
        <v>369600</v>
      </c>
    </row>
    <row r="623" spans="1:15" x14ac:dyDescent="0.35">
      <c r="A623">
        <v>732133002</v>
      </c>
      <c r="B623" t="s">
        <v>987</v>
      </c>
      <c r="C623" t="s">
        <v>89</v>
      </c>
      <c r="D623" t="s">
        <v>64</v>
      </c>
      <c r="E623" s="30" t="s">
        <v>14</v>
      </c>
      <c r="F623" s="31">
        <v>0</v>
      </c>
      <c r="G623" s="31">
        <v>0</v>
      </c>
      <c r="H623" s="31">
        <v>0</v>
      </c>
      <c r="I623" s="31">
        <v>1</v>
      </c>
      <c r="J623" s="31">
        <f t="shared" si="38"/>
        <v>1</v>
      </c>
      <c r="K623" s="28">
        <v>548000</v>
      </c>
      <c r="L623" s="29">
        <v>0.81</v>
      </c>
      <c r="M623" s="31">
        <f t="shared" si="39"/>
        <v>443880.00000000006</v>
      </c>
      <c r="N623" s="28">
        <f t="shared" si="40"/>
        <v>104119.99999999997</v>
      </c>
      <c r="O623" s="28">
        <v>383600</v>
      </c>
    </row>
    <row r="624" spans="1:15" x14ac:dyDescent="0.35">
      <c r="A624">
        <v>732133003</v>
      </c>
      <c r="B624" t="s">
        <v>988</v>
      </c>
      <c r="C624" t="s">
        <v>89</v>
      </c>
      <c r="D624" t="s">
        <v>64</v>
      </c>
      <c r="E624" s="30" t="s">
        <v>14</v>
      </c>
      <c r="F624" s="31">
        <v>0</v>
      </c>
      <c r="G624" s="31">
        <v>0</v>
      </c>
      <c r="H624" s="31">
        <v>0</v>
      </c>
      <c r="I624" s="31">
        <v>1</v>
      </c>
      <c r="J624" s="31">
        <f t="shared" si="38"/>
        <v>1</v>
      </c>
      <c r="K624" s="28">
        <v>548000</v>
      </c>
      <c r="L624" s="29">
        <v>0.81</v>
      </c>
      <c r="M624" s="31">
        <f t="shared" si="39"/>
        <v>443880.00000000006</v>
      </c>
      <c r="N624" s="28">
        <f t="shared" si="40"/>
        <v>104119.99999999997</v>
      </c>
      <c r="O624" s="28">
        <v>383600</v>
      </c>
    </row>
    <row r="625" spans="1:15" x14ac:dyDescent="0.35">
      <c r="A625">
        <v>732133005</v>
      </c>
      <c r="B625" t="s">
        <v>990</v>
      </c>
      <c r="C625" t="s">
        <v>89</v>
      </c>
      <c r="D625" t="s">
        <v>64</v>
      </c>
      <c r="E625" s="30" t="s">
        <v>14</v>
      </c>
      <c r="F625" s="31">
        <v>0</v>
      </c>
      <c r="G625" s="31">
        <v>0</v>
      </c>
      <c r="H625" s="31">
        <v>0</v>
      </c>
      <c r="I625" s="31">
        <v>1</v>
      </c>
      <c r="J625" s="31">
        <f t="shared" si="38"/>
        <v>1</v>
      </c>
      <c r="K625" s="28">
        <v>548000</v>
      </c>
      <c r="L625" s="29">
        <v>0.81</v>
      </c>
      <c r="M625" s="31">
        <f t="shared" si="39"/>
        <v>443880.00000000006</v>
      </c>
      <c r="N625" s="28">
        <f t="shared" si="40"/>
        <v>104119.99999999997</v>
      </c>
      <c r="O625" s="28">
        <v>383600</v>
      </c>
    </row>
    <row r="626" spans="1:15" x14ac:dyDescent="0.35">
      <c r="A626">
        <v>732133007</v>
      </c>
      <c r="B626" t="s">
        <v>992</v>
      </c>
      <c r="C626" t="s">
        <v>89</v>
      </c>
      <c r="D626" t="s">
        <v>64</v>
      </c>
      <c r="E626" s="30" t="s">
        <v>14</v>
      </c>
      <c r="F626" s="31">
        <v>0</v>
      </c>
      <c r="G626" s="31">
        <v>0</v>
      </c>
      <c r="H626" s="31">
        <v>0</v>
      </c>
      <c r="I626" s="31">
        <v>4</v>
      </c>
      <c r="J626" s="31">
        <f t="shared" si="38"/>
        <v>4</v>
      </c>
      <c r="K626" s="28">
        <v>548000</v>
      </c>
      <c r="L626" s="29">
        <v>0.81</v>
      </c>
      <c r="M626" s="31">
        <f t="shared" si="39"/>
        <v>443880.00000000006</v>
      </c>
      <c r="N626" s="28">
        <f t="shared" si="40"/>
        <v>104119.99999999997</v>
      </c>
      <c r="O626" s="28">
        <v>383600</v>
      </c>
    </row>
    <row r="627" spans="1:15" x14ac:dyDescent="0.35">
      <c r="A627">
        <v>732134002</v>
      </c>
      <c r="B627" t="s">
        <v>994</v>
      </c>
      <c r="C627" t="s">
        <v>89</v>
      </c>
      <c r="D627" t="s">
        <v>64</v>
      </c>
      <c r="E627" s="30" t="s">
        <v>14</v>
      </c>
      <c r="F627" s="31">
        <v>0</v>
      </c>
      <c r="G627" s="31">
        <v>0</v>
      </c>
      <c r="H627" s="31">
        <v>0</v>
      </c>
      <c r="I627" s="31">
        <v>7</v>
      </c>
      <c r="J627" s="31">
        <f t="shared" si="38"/>
        <v>7</v>
      </c>
      <c r="K627" s="28">
        <v>298000</v>
      </c>
      <c r="L627" s="29">
        <v>0.81</v>
      </c>
      <c r="M627" s="31">
        <f t="shared" si="39"/>
        <v>241380.00000000003</v>
      </c>
      <c r="N627" s="28">
        <f t="shared" si="40"/>
        <v>56619.999999999985</v>
      </c>
      <c r="O627" s="28">
        <v>208600</v>
      </c>
    </row>
    <row r="628" spans="1:15" x14ac:dyDescent="0.35">
      <c r="A628">
        <v>732134003</v>
      </c>
      <c r="B628" t="s">
        <v>995</v>
      </c>
      <c r="C628" t="s">
        <v>89</v>
      </c>
      <c r="D628" t="s">
        <v>64</v>
      </c>
      <c r="E628" s="30" t="s">
        <v>14</v>
      </c>
      <c r="F628" s="31">
        <v>0</v>
      </c>
      <c r="G628" s="31">
        <v>0</v>
      </c>
      <c r="H628" s="31">
        <v>0</v>
      </c>
      <c r="I628" s="31">
        <v>11</v>
      </c>
      <c r="J628" s="31">
        <f t="shared" si="38"/>
        <v>11</v>
      </c>
      <c r="K628" s="28">
        <v>298000</v>
      </c>
      <c r="L628" s="29">
        <v>0.81</v>
      </c>
      <c r="M628" s="31">
        <f t="shared" si="39"/>
        <v>241380.00000000003</v>
      </c>
      <c r="N628" s="28">
        <f t="shared" si="40"/>
        <v>56619.999999999985</v>
      </c>
      <c r="O628" s="28">
        <v>208600</v>
      </c>
    </row>
    <row r="629" spans="1:15" x14ac:dyDescent="0.35">
      <c r="A629">
        <v>732134005</v>
      </c>
      <c r="B629" t="s">
        <v>997</v>
      </c>
      <c r="C629" t="s">
        <v>89</v>
      </c>
      <c r="D629" t="s">
        <v>64</v>
      </c>
      <c r="E629" s="30" t="s">
        <v>14</v>
      </c>
      <c r="F629" s="31">
        <v>0</v>
      </c>
      <c r="G629" s="31">
        <v>0</v>
      </c>
      <c r="H629" s="31">
        <v>0</v>
      </c>
      <c r="I629" s="31">
        <v>1</v>
      </c>
      <c r="J629" s="31">
        <f t="shared" si="38"/>
        <v>1</v>
      </c>
      <c r="K629" s="28">
        <v>298000</v>
      </c>
      <c r="L629" s="29">
        <v>0.81</v>
      </c>
      <c r="M629" s="31">
        <f t="shared" si="39"/>
        <v>241380.00000000003</v>
      </c>
      <c r="N629" s="28">
        <f t="shared" si="40"/>
        <v>56619.999999999985</v>
      </c>
      <c r="O629" s="28">
        <v>208600</v>
      </c>
    </row>
    <row r="630" spans="1:15" x14ac:dyDescent="0.35">
      <c r="A630">
        <v>732134006</v>
      </c>
      <c r="B630" t="s">
        <v>998</v>
      </c>
      <c r="C630" t="s">
        <v>89</v>
      </c>
      <c r="D630" t="s">
        <v>64</v>
      </c>
      <c r="E630" s="30" t="s">
        <v>14</v>
      </c>
      <c r="F630" s="31">
        <v>0</v>
      </c>
      <c r="G630" s="31">
        <v>0</v>
      </c>
      <c r="H630" s="31">
        <v>0</v>
      </c>
      <c r="I630" s="31">
        <v>4</v>
      </c>
      <c r="J630" s="31">
        <f t="shared" si="38"/>
        <v>4</v>
      </c>
      <c r="K630" s="28">
        <v>298000</v>
      </c>
      <c r="L630" s="29">
        <v>0.81</v>
      </c>
      <c r="M630" s="31">
        <f t="shared" si="39"/>
        <v>241380.00000000003</v>
      </c>
      <c r="N630" s="28">
        <f t="shared" si="40"/>
        <v>56619.999999999985</v>
      </c>
      <c r="O630" s="28">
        <v>208600</v>
      </c>
    </row>
    <row r="631" spans="1:15" x14ac:dyDescent="0.35">
      <c r="A631">
        <v>732370004</v>
      </c>
      <c r="B631" t="s">
        <v>1001</v>
      </c>
      <c r="C631" t="s">
        <v>89</v>
      </c>
      <c r="D631" t="s">
        <v>64</v>
      </c>
      <c r="E631" s="30" t="s">
        <v>14</v>
      </c>
      <c r="F631" s="31">
        <v>0</v>
      </c>
      <c r="G631" s="31">
        <v>0</v>
      </c>
      <c r="H631" s="31">
        <v>0</v>
      </c>
      <c r="I631" s="31">
        <v>1</v>
      </c>
      <c r="J631" s="31">
        <f t="shared" si="38"/>
        <v>1</v>
      </c>
      <c r="K631" s="28">
        <v>448000</v>
      </c>
      <c r="L631" s="29">
        <v>0.81</v>
      </c>
      <c r="M631" s="31">
        <f t="shared" si="39"/>
        <v>362880</v>
      </c>
      <c r="N631" s="28">
        <f t="shared" si="40"/>
        <v>85119.999999999971</v>
      </c>
      <c r="O631" s="28">
        <v>313600</v>
      </c>
    </row>
    <row r="632" spans="1:15" x14ac:dyDescent="0.35">
      <c r="A632">
        <v>741050001</v>
      </c>
      <c r="B632" t="s">
        <v>1895</v>
      </c>
      <c r="C632" t="s">
        <v>89</v>
      </c>
      <c r="D632" t="s">
        <v>64</v>
      </c>
      <c r="E632" s="30" t="s">
        <v>14</v>
      </c>
      <c r="F632" s="31">
        <v>0</v>
      </c>
      <c r="G632" s="31">
        <v>0</v>
      </c>
      <c r="H632" s="31">
        <v>0</v>
      </c>
      <c r="I632" s="31">
        <v>24</v>
      </c>
      <c r="J632" s="31">
        <f t="shared" si="38"/>
        <v>24</v>
      </c>
      <c r="K632" s="28">
        <v>248000</v>
      </c>
      <c r="L632" s="29">
        <v>0.45</v>
      </c>
      <c r="M632" s="31">
        <f t="shared" si="39"/>
        <v>111600</v>
      </c>
      <c r="N632" s="28">
        <f t="shared" si="40"/>
        <v>136400</v>
      </c>
    </row>
    <row r="633" spans="1:15" x14ac:dyDescent="0.35">
      <c r="A633">
        <v>741050002</v>
      </c>
      <c r="B633" t="s">
        <v>1896</v>
      </c>
      <c r="C633" t="s">
        <v>89</v>
      </c>
      <c r="D633" t="s">
        <v>64</v>
      </c>
      <c r="E633" s="30" t="s">
        <v>14</v>
      </c>
      <c r="F633" s="31">
        <v>0</v>
      </c>
      <c r="G633" s="31">
        <v>0</v>
      </c>
      <c r="H633" s="31">
        <v>0</v>
      </c>
      <c r="I633" s="31">
        <v>6</v>
      </c>
      <c r="J633" s="31">
        <f t="shared" si="38"/>
        <v>6</v>
      </c>
      <c r="K633" s="28">
        <v>248000</v>
      </c>
      <c r="L633" s="29">
        <v>0.45</v>
      </c>
      <c r="M633" s="31">
        <f t="shared" si="39"/>
        <v>111600</v>
      </c>
      <c r="N633" s="28">
        <f t="shared" si="40"/>
        <v>136400</v>
      </c>
    </row>
    <row r="634" spans="1:15" x14ac:dyDescent="0.35">
      <c r="A634">
        <v>741050003</v>
      </c>
      <c r="B634" t="s">
        <v>1897</v>
      </c>
      <c r="C634" t="s">
        <v>89</v>
      </c>
      <c r="D634" t="s">
        <v>64</v>
      </c>
      <c r="E634" s="30" t="s">
        <v>14</v>
      </c>
      <c r="F634" s="31">
        <v>0</v>
      </c>
      <c r="G634" s="31">
        <v>0</v>
      </c>
      <c r="H634" s="31">
        <v>0</v>
      </c>
      <c r="I634" s="31">
        <v>29</v>
      </c>
      <c r="J634" s="31">
        <f t="shared" si="38"/>
        <v>29</v>
      </c>
      <c r="K634" s="28">
        <v>248000</v>
      </c>
      <c r="L634" s="29">
        <v>0.45</v>
      </c>
      <c r="M634" s="31">
        <f t="shared" si="39"/>
        <v>111600</v>
      </c>
      <c r="N634" s="28">
        <f t="shared" si="40"/>
        <v>136400</v>
      </c>
    </row>
    <row r="635" spans="1:15" x14ac:dyDescent="0.35">
      <c r="A635">
        <v>741050004</v>
      </c>
      <c r="B635" t="s">
        <v>1898</v>
      </c>
      <c r="C635" t="s">
        <v>89</v>
      </c>
      <c r="D635" t="s">
        <v>64</v>
      </c>
      <c r="E635" s="30" t="s">
        <v>14</v>
      </c>
      <c r="F635" s="31">
        <v>0</v>
      </c>
      <c r="G635" s="31">
        <v>0</v>
      </c>
      <c r="H635" s="31">
        <v>0</v>
      </c>
      <c r="I635" s="31">
        <v>5</v>
      </c>
      <c r="J635" s="31">
        <f t="shared" si="38"/>
        <v>5</v>
      </c>
      <c r="K635" s="28">
        <v>248000</v>
      </c>
      <c r="L635" s="29">
        <v>0.45</v>
      </c>
      <c r="M635" s="31">
        <f t="shared" si="39"/>
        <v>111600</v>
      </c>
      <c r="N635" s="28">
        <f t="shared" si="40"/>
        <v>136400</v>
      </c>
    </row>
    <row r="636" spans="1:15" x14ac:dyDescent="0.35">
      <c r="A636">
        <v>731359001</v>
      </c>
      <c r="B636" t="s">
        <v>1899</v>
      </c>
      <c r="C636" t="s">
        <v>391</v>
      </c>
      <c r="D636" t="s">
        <v>392</v>
      </c>
      <c r="E636" s="30" t="s">
        <v>14</v>
      </c>
      <c r="F636" s="31">
        <v>0</v>
      </c>
      <c r="G636" s="31">
        <v>95</v>
      </c>
      <c r="H636" s="31">
        <v>26</v>
      </c>
      <c r="I636" s="31">
        <v>40</v>
      </c>
      <c r="J636" s="31">
        <f t="shared" si="38"/>
        <v>161</v>
      </c>
      <c r="K636" s="28">
        <v>498000</v>
      </c>
      <c r="L636" s="29">
        <v>0.81</v>
      </c>
      <c r="M636" s="31">
        <f t="shared" si="39"/>
        <v>403380</v>
      </c>
      <c r="N636" s="28">
        <f t="shared" si="40"/>
        <v>94619.999999999971</v>
      </c>
    </row>
    <row r="637" spans="1:15" x14ac:dyDescent="0.35">
      <c r="A637">
        <v>731360001</v>
      </c>
      <c r="B637" t="s">
        <v>1900</v>
      </c>
      <c r="C637" t="s">
        <v>391</v>
      </c>
      <c r="D637" t="s">
        <v>392</v>
      </c>
      <c r="E637" s="30" t="s">
        <v>14</v>
      </c>
      <c r="F637" s="31">
        <v>0</v>
      </c>
      <c r="G637" s="31">
        <v>0</v>
      </c>
      <c r="H637" s="31">
        <v>0</v>
      </c>
      <c r="I637" s="31">
        <v>5</v>
      </c>
      <c r="J637" s="31">
        <f t="shared" si="38"/>
        <v>5</v>
      </c>
      <c r="K637" s="28">
        <v>398000</v>
      </c>
      <c r="L637" s="29">
        <v>0.81</v>
      </c>
      <c r="M637" s="31">
        <f t="shared" si="39"/>
        <v>322380</v>
      </c>
      <c r="N637" s="28">
        <f t="shared" si="40"/>
        <v>75619.999999999985</v>
      </c>
    </row>
    <row r="638" spans="1:15" x14ac:dyDescent="0.35">
      <c r="A638">
        <v>731362001</v>
      </c>
      <c r="B638" t="s">
        <v>1901</v>
      </c>
      <c r="C638" t="s">
        <v>391</v>
      </c>
      <c r="D638" t="s">
        <v>392</v>
      </c>
      <c r="E638" s="30" t="s">
        <v>14</v>
      </c>
      <c r="F638" s="31">
        <v>0</v>
      </c>
      <c r="G638" s="31">
        <v>0</v>
      </c>
      <c r="H638" s="31">
        <v>0</v>
      </c>
      <c r="I638" s="31">
        <v>3</v>
      </c>
      <c r="J638" s="31">
        <f t="shared" si="38"/>
        <v>3</v>
      </c>
      <c r="K638" s="28">
        <v>798000</v>
      </c>
      <c r="L638" s="29">
        <v>0.81</v>
      </c>
      <c r="M638" s="31">
        <f t="shared" si="39"/>
        <v>646380</v>
      </c>
      <c r="N638" s="28">
        <f t="shared" si="40"/>
        <v>151619.99999999997</v>
      </c>
    </row>
    <row r="639" spans="1:15" x14ac:dyDescent="0.35">
      <c r="A639">
        <v>734722001</v>
      </c>
      <c r="B639" t="s">
        <v>390</v>
      </c>
      <c r="C639" t="s">
        <v>391</v>
      </c>
      <c r="D639" t="s">
        <v>392</v>
      </c>
      <c r="E639" s="30" t="s">
        <v>14</v>
      </c>
      <c r="F639" s="31">
        <v>0</v>
      </c>
      <c r="G639" s="31">
        <v>0</v>
      </c>
      <c r="H639" s="31">
        <v>0</v>
      </c>
      <c r="I639" s="31">
        <v>50</v>
      </c>
      <c r="J639" s="31">
        <f t="shared" si="38"/>
        <v>50</v>
      </c>
      <c r="K639" s="28">
        <v>598000</v>
      </c>
      <c r="L639" s="29">
        <v>0.45</v>
      </c>
      <c r="M639" s="31">
        <f t="shared" si="39"/>
        <v>269100</v>
      </c>
      <c r="N639" s="28">
        <f t="shared" si="40"/>
        <v>328900</v>
      </c>
    </row>
    <row r="640" spans="1:15" x14ac:dyDescent="0.35">
      <c r="A640">
        <v>734723001</v>
      </c>
      <c r="B640" t="s">
        <v>393</v>
      </c>
      <c r="C640" t="s">
        <v>391</v>
      </c>
      <c r="D640" t="s">
        <v>392</v>
      </c>
      <c r="E640" s="30" t="s">
        <v>14</v>
      </c>
      <c r="F640" s="31">
        <v>0</v>
      </c>
      <c r="G640" s="31">
        <v>0</v>
      </c>
      <c r="H640" s="31">
        <v>0</v>
      </c>
      <c r="I640" s="31">
        <v>68</v>
      </c>
      <c r="J640" s="31">
        <f t="shared" si="38"/>
        <v>68</v>
      </c>
      <c r="K640" s="28">
        <v>498000</v>
      </c>
      <c r="L640" s="29">
        <v>0.45</v>
      </c>
      <c r="M640" s="31">
        <f t="shared" si="39"/>
        <v>224100</v>
      </c>
      <c r="N640" s="28">
        <f t="shared" si="40"/>
        <v>273900</v>
      </c>
    </row>
    <row r="641" spans="1:15" x14ac:dyDescent="0.35">
      <c r="A641">
        <v>734724001</v>
      </c>
      <c r="B641" t="s">
        <v>394</v>
      </c>
      <c r="C641" t="s">
        <v>391</v>
      </c>
      <c r="D641" t="s">
        <v>392</v>
      </c>
      <c r="E641" s="30" t="s">
        <v>14</v>
      </c>
      <c r="F641" s="31">
        <v>0</v>
      </c>
      <c r="G641" s="31">
        <v>460</v>
      </c>
      <c r="H641" s="31">
        <v>61</v>
      </c>
      <c r="I641" s="31">
        <v>61</v>
      </c>
      <c r="J641" s="31">
        <f t="shared" si="38"/>
        <v>582</v>
      </c>
      <c r="K641" s="28">
        <v>1048000</v>
      </c>
      <c r="L641" s="29">
        <v>0.45</v>
      </c>
      <c r="M641" s="31">
        <f t="shared" si="39"/>
        <v>471600</v>
      </c>
      <c r="N641" s="28">
        <f t="shared" si="40"/>
        <v>576400</v>
      </c>
    </row>
    <row r="642" spans="1:15" x14ac:dyDescent="0.35">
      <c r="A642">
        <v>734725001</v>
      </c>
      <c r="B642" t="s">
        <v>395</v>
      </c>
      <c r="C642" t="s">
        <v>391</v>
      </c>
      <c r="D642" t="s">
        <v>392</v>
      </c>
      <c r="E642" s="30" t="s">
        <v>14</v>
      </c>
      <c r="F642" s="31">
        <v>0</v>
      </c>
      <c r="G642" s="31">
        <v>189</v>
      </c>
      <c r="H642" s="31">
        <v>33</v>
      </c>
      <c r="I642" s="31">
        <v>69</v>
      </c>
      <c r="J642" s="31">
        <f t="shared" si="38"/>
        <v>291</v>
      </c>
      <c r="K642" s="28">
        <v>948000</v>
      </c>
      <c r="L642" s="29">
        <v>0.45</v>
      </c>
      <c r="M642" s="31">
        <f t="shared" si="39"/>
        <v>426600</v>
      </c>
      <c r="N642" s="28">
        <f t="shared" si="40"/>
        <v>521400.00000000006</v>
      </c>
    </row>
    <row r="643" spans="1:15" x14ac:dyDescent="0.35">
      <c r="A643">
        <v>734726001</v>
      </c>
      <c r="B643" t="s">
        <v>396</v>
      </c>
      <c r="C643" t="s">
        <v>391</v>
      </c>
      <c r="D643" t="s">
        <v>392</v>
      </c>
      <c r="E643" s="30" t="s">
        <v>14</v>
      </c>
      <c r="F643" s="31">
        <v>0</v>
      </c>
      <c r="G643" s="31">
        <v>357</v>
      </c>
      <c r="H643" s="31">
        <v>56</v>
      </c>
      <c r="I643" s="31">
        <v>42</v>
      </c>
      <c r="J643" s="31">
        <f t="shared" si="38"/>
        <v>455</v>
      </c>
      <c r="K643" s="28">
        <v>1048000</v>
      </c>
      <c r="L643" s="29">
        <v>0.45</v>
      </c>
      <c r="M643" s="31">
        <f t="shared" si="39"/>
        <v>471600</v>
      </c>
      <c r="N643" s="28">
        <f t="shared" ref="N643:N706" si="41">K643*(1-L643)</f>
        <v>576400</v>
      </c>
    </row>
    <row r="644" spans="1:15" x14ac:dyDescent="0.35">
      <c r="A644">
        <v>734727001</v>
      </c>
      <c r="B644" t="s">
        <v>397</v>
      </c>
      <c r="C644" t="s">
        <v>391</v>
      </c>
      <c r="D644" t="s">
        <v>392</v>
      </c>
      <c r="E644" s="30" t="s">
        <v>14</v>
      </c>
      <c r="F644" s="31">
        <v>0</v>
      </c>
      <c r="G644" s="31">
        <v>89</v>
      </c>
      <c r="H644" s="31">
        <v>23</v>
      </c>
      <c r="I644" s="31">
        <v>58</v>
      </c>
      <c r="J644" s="31">
        <f t="shared" ref="J644:J707" si="42">SUM(F644:I644)</f>
        <v>170</v>
      </c>
      <c r="K644" s="28">
        <v>948000</v>
      </c>
      <c r="L644" s="29">
        <v>0.45</v>
      </c>
      <c r="M644" s="31">
        <f t="shared" ref="M644:M707" si="43">K644*L644</f>
        <v>426600</v>
      </c>
      <c r="N644" s="28">
        <f t="shared" si="41"/>
        <v>521400.00000000006</v>
      </c>
    </row>
    <row r="645" spans="1:15" x14ac:dyDescent="0.35">
      <c r="A645">
        <v>736389001</v>
      </c>
      <c r="B645" t="s">
        <v>398</v>
      </c>
      <c r="C645" t="s">
        <v>391</v>
      </c>
      <c r="D645" t="s">
        <v>392</v>
      </c>
      <c r="E645" s="30" t="s">
        <v>14</v>
      </c>
      <c r="F645" s="31">
        <v>0</v>
      </c>
      <c r="G645" s="31">
        <v>0</v>
      </c>
      <c r="H645" s="31">
        <v>0</v>
      </c>
      <c r="I645" s="31">
        <v>17</v>
      </c>
      <c r="J645" s="31">
        <f t="shared" si="42"/>
        <v>17</v>
      </c>
      <c r="K645" s="28">
        <v>498000</v>
      </c>
      <c r="L645" s="29">
        <v>0.45</v>
      </c>
      <c r="M645" s="31">
        <f t="shared" si="43"/>
        <v>224100</v>
      </c>
      <c r="N645" s="28">
        <f t="shared" si="41"/>
        <v>273900</v>
      </c>
    </row>
    <row r="646" spans="1:15" x14ac:dyDescent="0.35">
      <c r="A646">
        <v>736390001</v>
      </c>
      <c r="B646" t="s">
        <v>399</v>
      </c>
      <c r="C646" t="s">
        <v>391</v>
      </c>
      <c r="D646" t="s">
        <v>392</v>
      </c>
      <c r="E646" s="30" t="s">
        <v>14</v>
      </c>
      <c r="F646" s="31">
        <v>0</v>
      </c>
      <c r="G646" s="31">
        <v>10</v>
      </c>
      <c r="H646" s="31">
        <v>8</v>
      </c>
      <c r="I646" s="31">
        <v>39</v>
      </c>
      <c r="J646" s="31">
        <f t="shared" si="42"/>
        <v>57</v>
      </c>
      <c r="K646" s="28">
        <v>948000</v>
      </c>
      <c r="L646" s="29">
        <v>0.45</v>
      </c>
      <c r="M646" s="31">
        <f t="shared" si="43"/>
        <v>426600</v>
      </c>
      <c r="N646" s="28">
        <f t="shared" si="41"/>
        <v>521400.00000000006</v>
      </c>
    </row>
    <row r="647" spans="1:15" x14ac:dyDescent="0.35">
      <c r="A647">
        <v>200445001</v>
      </c>
      <c r="B647" t="s">
        <v>1902</v>
      </c>
      <c r="C647" t="s">
        <v>368</v>
      </c>
      <c r="D647" t="s">
        <v>392</v>
      </c>
      <c r="E647" s="30" t="s">
        <v>14</v>
      </c>
      <c r="F647" s="31">
        <v>0</v>
      </c>
      <c r="G647" s="31">
        <v>0</v>
      </c>
      <c r="H647" s="31">
        <v>0</v>
      </c>
      <c r="I647" s="31">
        <v>3</v>
      </c>
      <c r="J647" s="31">
        <f t="shared" si="42"/>
        <v>3</v>
      </c>
      <c r="K647" s="28">
        <v>99000</v>
      </c>
      <c r="L647" s="29">
        <v>0.81</v>
      </c>
      <c r="M647" s="31">
        <f t="shared" si="43"/>
        <v>80190</v>
      </c>
      <c r="N647" s="28">
        <f t="shared" si="41"/>
        <v>18809.999999999996</v>
      </c>
    </row>
    <row r="648" spans="1:15" x14ac:dyDescent="0.35">
      <c r="A648">
        <v>200448001</v>
      </c>
      <c r="B648" t="s">
        <v>1002</v>
      </c>
      <c r="C648" t="s">
        <v>368</v>
      </c>
      <c r="D648" t="s">
        <v>392</v>
      </c>
      <c r="E648" s="30" t="s">
        <v>14</v>
      </c>
      <c r="F648" s="31">
        <v>0</v>
      </c>
      <c r="G648" s="31">
        <v>0</v>
      </c>
      <c r="H648" s="31">
        <v>0</v>
      </c>
      <c r="I648" s="31">
        <v>10</v>
      </c>
      <c r="J648" s="31">
        <f t="shared" si="42"/>
        <v>10</v>
      </c>
      <c r="K648" s="28">
        <v>148000</v>
      </c>
      <c r="L648" s="29">
        <v>0.81</v>
      </c>
      <c r="M648" s="31">
        <f t="shared" si="43"/>
        <v>119880.00000000001</v>
      </c>
      <c r="N648" s="28">
        <f t="shared" si="41"/>
        <v>28119.999999999993</v>
      </c>
      <c r="O648" s="28">
        <v>78000</v>
      </c>
    </row>
    <row r="649" spans="1:15" x14ac:dyDescent="0.35">
      <c r="A649">
        <v>201660001</v>
      </c>
      <c r="B649" t="s">
        <v>1903</v>
      </c>
      <c r="C649" t="s">
        <v>368</v>
      </c>
      <c r="D649" t="s">
        <v>392</v>
      </c>
      <c r="E649" s="30" t="s">
        <v>14</v>
      </c>
      <c r="F649" s="31">
        <v>0</v>
      </c>
      <c r="G649" s="31">
        <v>0</v>
      </c>
      <c r="H649" s="31">
        <v>0</v>
      </c>
      <c r="I649" s="31">
        <v>9</v>
      </c>
      <c r="J649" s="31">
        <f t="shared" si="42"/>
        <v>9</v>
      </c>
      <c r="K649" s="28">
        <v>55000</v>
      </c>
      <c r="L649" s="29">
        <v>0.81</v>
      </c>
      <c r="M649" s="31">
        <f t="shared" si="43"/>
        <v>44550</v>
      </c>
      <c r="N649" s="28">
        <f t="shared" si="41"/>
        <v>10449.999999999996</v>
      </c>
    </row>
    <row r="650" spans="1:15" x14ac:dyDescent="0.35">
      <c r="A650">
        <v>201662001</v>
      </c>
      <c r="B650" t="s">
        <v>1904</v>
      </c>
      <c r="C650" t="s">
        <v>368</v>
      </c>
      <c r="D650" t="s">
        <v>392</v>
      </c>
      <c r="E650" s="30" t="s">
        <v>14</v>
      </c>
      <c r="F650" s="31">
        <v>0</v>
      </c>
      <c r="G650" s="31">
        <v>0</v>
      </c>
      <c r="H650" s="31">
        <v>0</v>
      </c>
      <c r="I650" s="31">
        <v>7</v>
      </c>
      <c r="J650" s="31">
        <f t="shared" si="42"/>
        <v>7</v>
      </c>
      <c r="K650" s="28">
        <v>45000</v>
      </c>
      <c r="L650" s="29">
        <v>0.81</v>
      </c>
      <c r="M650" s="31">
        <f t="shared" si="43"/>
        <v>36450</v>
      </c>
      <c r="N650" s="28">
        <f t="shared" si="41"/>
        <v>8549.9999999999982</v>
      </c>
    </row>
    <row r="651" spans="1:15" x14ac:dyDescent="0.35">
      <c r="A651">
        <v>201665001</v>
      </c>
      <c r="B651" t="s">
        <v>1905</v>
      </c>
      <c r="C651" t="s">
        <v>368</v>
      </c>
      <c r="D651" t="s">
        <v>392</v>
      </c>
      <c r="E651" s="30" t="s">
        <v>14</v>
      </c>
      <c r="F651" s="31">
        <v>0</v>
      </c>
      <c r="G651" s="31">
        <v>0</v>
      </c>
      <c r="H651" s="31">
        <v>0</v>
      </c>
      <c r="I651" s="31">
        <v>6</v>
      </c>
      <c r="J651" s="31">
        <f t="shared" si="42"/>
        <v>6</v>
      </c>
      <c r="K651" s="28">
        <v>55000</v>
      </c>
      <c r="L651" s="29">
        <v>0.81</v>
      </c>
      <c r="M651" s="31">
        <f t="shared" si="43"/>
        <v>44550</v>
      </c>
      <c r="N651" s="28">
        <f t="shared" si="41"/>
        <v>10449.999999999996</v>
      </c>
    </row>
    <row r="652" spans="1:15" x14ac:dyDescent="0.35">
      <c r="A652">
        <v>201692001</v>
      </c>
      <c r="B652" t="s">
        <v>1906</v>
      </c>
      <c r="C652" t="s">
        <v>368</v>
      </c>
      <c r="D652" t="s">
        <v>392</v>
      </c>
      <c r="E652" s="30" t="s">
        <v>14</v>
      </c>
      <c r="F652" s="31">
        <v>0</v>
      </c>
      <c r="G652" s="31">
        <v>0</v>
      </c>
      <c r="H652" s="31">
        <v>0</v>
      </c>
      <c r="I652" s="31">
        <v>9</v>
      </c>
      <c r="J652" s="31">
        <f t="shared" si="42"/>
        <v>9</v>
      </c>
      <c r="K652" s="28">
        <v>25000</v>
      </c>
      <c r="L652" s="29">
        <v>0.81</v>
      </c>
      <c r="M652" s="31">
        <f t="shared" si="43"/>
        <v>20250</v>
      </c>
      <c r="N652" s="28">
        <f t="shared" si="41"/>
        <v>4749.9999999999991</v>
      </c>
    </row>
    <row r="653" spans="1:15" x14ac:dyDescent="0.35">
      <c r="A653">
        <v>500605001</v>
      </c>
      <c r="B653" t="s">
        <v>1907</v>
      </c>
      <c r="C653" t="s">
        <v>368</v>
      </c>
      <c r="D653" t="s">
        <v>392</v>
      </c>
      <c r="E653" s="30" t="s">
        <v>14</v>
      </c>
      <c r="F653" s="31">
        <v>0</v>
      </c>
      <c r="G653" s="31">
        <v>0</v>
      </c>
      <c r="H653" s="31">
        <v>0</v>
      </c>
      <c r="I653" s="31">
        <v>1</v>
      </c>
      <c r="J653" s="31">
        <f t="shared" si="42"/>
        <v>1</v>
      </c>
      <c r="K653" s="28">
        <v>21000</v>
      </c>
      <c r="L653" s="29">
        <v>0.81</v>
      </c>
      <c r="M653" s="31">
        <f t="shared" si="43"/>
        <v>17010</v>
      </c>
      <c r="N653" s="28">
        <f t="shared" si="41"/>
        <v>3989.9999999999991</v>
      </c>
    </row>
    <row r="654" spans="1:15" x14ac:dyDescent="0.35">
      <c r="A654">
        <v>500606001</v>
      </c>
      <c r="B654" t="s">
        <v>1908</v>
      </c>
      <c r="C654" t="s">
        <v>368</v>
      </c>
      <c r="D654" t="s">
        <v>392</v>
      </c>
      <c r="E654" s="30" t="s">
        <v>14</v>
      </c>
      <c r="F654" s="31">
        <v>0</v>
      </c>
      <c r="G654" s="31">
        <v>0</v>
      </c>
      <c r="H654" s="31">
        <v>1</v>
      </c>
      <c r="I654" s="31">
        <v>3</v>
      </c>
      <c r="J654" s="31">
        <f t="shared" si="42"/>
        <v>4</v>
      </c>
      <c r="K654" s="28">
        <v>25000</v>
      </c>
      <c r="L654" s="29">
        <v>0.81</v>
      </c>
      <c r="M654" s="31">
        <f t="shared" si="43"/>
        <v>20250</v>
      </c>
      <c r="N654" s="28">
        <f t="shared" si="41"/>
        <v>4749.9999999999991</v>
      </c>
    </row>
    <row r="655" spans="1:15" x14ac:dyDescent="0.35">
      <c r="A655">
        <v>500607001</v>
      </c>
      <c r="B655" t="s">
        <v>1909</v>
      </c>
      <c r="C655" t="s">
        <v>368</v>
      </c>
      <c r="D655" t="s">
        <v>392</v>
      </c>
      <c r="E655" s="30" t="s">
        <v>14</v>
      </c>
      <c r="F655" s="31">
        <v>0</v>
      </c>
      <c r="G655" s="31">
        <v>0</v>
      </c>
      <c r="H655" s="31">
        <v>0</v>
      </c>
      <c r="I655" s="31">
        <v>1</v>
      </c>
      <c r="J655" s="31">
        <f t="shared" si="42"/>
        <v>1</v>
      </c>
      <c r="K655" s="28">
        <v>55000</v>
      </c>
      <c r="L655" s="29">
        <v>0.81</v>
      </c>
      <c r="M655" s="31">
        <f t="shared" si="43"/>
        <v>44550</v>
      </c>
      <c r="N655" s="28">
        <f t="shared" si="41"/>
        <v>10449.999999999996</v>
      </c>
    </row>
    <row r="656" spans="1:15" x14ac:dyDescent="0.35">
      <c r="A656">
        <v>705590001</v>
      </c>
      <c r="B656" t="s">
        <v>1003</v>
      </c>
      <c r="C656" t="s">
        <v>368</v>
      </c>
      <c r="D656" t="s">
        <v>392</v>
      </c>
      <c r="E656" s="30" t="s">
        <v>14</v>
      </c>
      <c r="F656" s="31">
        <v>0</v>
      </c>
      <c r="G656" s="31">
        <v>0</v>
      </c>
      <c r="H656" s="31">
        <v>0</v>
      </c>
      <c r="I656" s="31">
        <v>10</v>
      </c>
      <c r="J656" s="31">
        <f t="shared" si="42"/>
        <v>10</v>
      </c>
      <c r="K656" s="28">
        <v>35000</v>
      </c>
      <c r="L656" s="29">
        <v>0.81</v>
      </c>
      <c r="M656" s="31">
        <f t="shared" si="43"/>
        <v>28350.000000000004</v>
      </c>
      <c r="N656" s="28">
        <f t="shared" si="41"/>
        <v>6649.9999999999982</v>
      </c>
      <c r="O656" s="28">
        <v>25000</v>
      </c>
    </row>
    <row r="657" spans="1:15" x14ac:dyDescent="0.35">
      <c r="A657">
        <v>705591001</v>
      </c>
      <c r="B657" t="s">
        <v>1004</v>
      </c>
      <c r="C657" t="s">
        <v>368</v>
      </c>
      <c r="D657" t="s">
        <v>392</v>
      </c>
      <c r="E657" s="30" t="s">
        <v>14</v>
      </c>
      <c r="F657" s="31">
        <v>0</v>
      </c>
      <c r="G657" s="31">
        <v>0</v>
      </c>
      <c r="H657" s="31">
        <v>0</v>
      </c>
      <c r="I657" s="31">
        <v>3</v>
      </c>
      <c r="J657" s="31">
        <f t="shared" si="42"/>
        <v>3</v>
      </c>
      <c r="K657" s="28">
        <v>45000</v>
      </c>
      <c r="L657" s="29">
        <v>0.81</v>
      </c>
      <c r="M657" s="31">
        <f t="shared" si="43"/>
        <v>36450</v>
      </c>
      <c r="N657" s="28">
        <f t="shared" si="41"/>
        <v>8549.9999999999982</v>
      </c>
      <c r="O657" s="28">
        <v>35000</v>
      </c>
    </row>
    <row r="658" spans="1:15" x14ac:dyDescent="0.35">
      <c r="A658">
        <v>708183001</v>
      </c>
      <c r="B658" t="s">
        <v>1005</v>
      </c>
      <c r="C658" t="s">
        <v>368</v>
      </c>
      <c r="D658" t="s">
        <v>392</v>
      </c>
      <c r="E658" s="30" t="s">
        <v>14</v>
      </c>
      <c r="F658" s="31">
        <v>0</v>
      </c>
      <c r="G658" s="31">
        <v>0</v>
      </c>
      <c r="H658" s="31">
        <v>0</v>
      </c>
      <c r="I658" s="31">
        <v>1</v>
      </c>
      <c r="J658" s="31">
        <f t="shared" si="42"/>
        <v>1</v>
      </c>
      <c r="K658" s="28">
        <v>45000</v>
      </c>
      <c r="L658" s="29">
        <v>0.81</v>
      </c>
      <c r="M658" s="31">
        <f t="shared" si="43"/>
        <v>36450</v>
      </c>
      <c r="N658" s="28">
        <f t="shared" si="41"/>
        <v>8549.9999999999982</v>
      </c>
      <c r="O658" s="28">
        <v>35000</v>
      </c>
    </row>
    <row r="659" spans="1:15" x14ac:dyDescent="0.35">
      <c r="A659">
        <v>708542001</v>
      </c>
      <c r="B659" t="s">
        <v>1910</v>
      </c>
      <c r="C659" t="s">
        <v>368</v>
      </c>
      <c r="D659" t="s">
        <v>392</v>
      </c>
      <c r="E659" s="30" t="s">
        <v>14</v>
      </c>
      <c r="F659" s="31">
        <v>0</v>
      </c>
      <c r="G659" s="31">
        <v>0</v>
      </c>
      <c r="H659" s="31">
        <v>1</v>
      </c>
      <c r="I659" s="31">
        <v>8</v>
      </c>
      <c r="J659" s="31">
        <f t="shared" si="42"/>
        <v>9</v>
      </c>
      <c r="K659" s="28">
        <v>142500</v>
      </c>
      <c r="L659" s="29">
        <v>0.81</v>
      </c>
      <c r="M659" s="31">
        <f t="shared" si="43"/>
        <v>115425.00000000001</v>
      </c>
      <c r="N659" s="28">
        <f t="shared" si="41"/>
        <v>27074.999999999993</v>
      </c>
    </row>
    <row r="660" spans="1:15" x14ac:dyDescent="0.35">
      <c r="A660">
        <v>708542002</v>
      </c>
      <c r="B660" t="s">
        <v>1911</v>
      </c>
      <c r="C660" t="s">
        <v>368</v>
      </c>
      <c r="D660" t="s">
        <v>392</v>
      </c>
      <c r="E660" s="30" t="s">
        <v>14</v>
      </c>
      <c r="F660" s="31">
        <v>0</v>
      </c>
      <c r="G660" s="31">
        <v>0</v>
      </c>
      <c r="H660" s="31">
        <v>1</v>
      </c>
      <c r="I660" s="31">
        <v>3</v>
      </c>
      <c r="J660" s="31">
        <f t="shared" si="42"/>
        <v>4</v>
      </c>
      <c r="K660" s="28">
        <v>142500</v>
      </c>
      <c r="L660" s="29">
        <v>0.81</v>
      </c>
      <c r="M660" s="31">
        <f t="shared" si="43"/>
        <v>115425.00000000001</v>
      </c>
      <c r="N660" s="28">
        <f t="shared" si="41"/>
        <v>27074.999999999993</v>
      </c>
    </row>
    <row r="661" spans="1:15" x14ac:dyDescent="0.35">
      <c r="A661">
        <v>708542003</v>
      </c>
      <c r="B661" t="s">
        <v>1912</v>
      </c>
      <c r="C661" t="s">
        <v>368</v>
      </c>
      <c r="D661" t="s">
        <v>392</v>
      </c>
      <c r="E661" s="30" t="s">
        <v>14</v>
      </c>
      <c r="F661" s="31">
        <v>0</v>
      </c>
      <c r="G661" s="31">
        <v>0</v>
      </c>
      <c r="H661" s="31">
        <v>1</v>
      </c>
      <c r="I661" s="31">
        <v>3</v>
      </c>
      <c r="J661" s="31">
        <f t="shared" si="42"/>
        <v>4</v>
      </c>
      <c r="K661" s="28">
        <v>142500</v>
      </c>
      <c r="L661" s="29">
        <v>0.81</v>
      </c>
      <c r="M661" s="31">
        <f t="shared" si="43"/>
        <v>115425.00000000001</v>
      </c>
      <c r="N661" s="28">
        <f t="shared" si="41"/>
        <v>27074.999999999993</v>
      </c>
    </row>
    <row r="662" spans="1:15" x14ac:dyDescent="0.35">
      <c r="A662">
        <v>708543002</v>
      </c>
      <c r="B662" t="s">
        <v>1913</v>
      </c>
      <c r="C662" t="s">
        <v>368</v>
      </c>
      <c r="D662" t="s">
        <v>392</v>
      </c>
      <c r="E662" s="30" t="s">
        <v>14</v>
      </c>
      <c r="F662" s="31">
        <v>0</v>
      </c>
      <c r="G662" s="31">
        <v>0</v>
      </c>
      <c r="H662" s="31">
        <v>0</v>
      </c>
      <c r="I662" s="31">
        <v>2</v>
      </c>
      <c r="J662" s="31">
        <f t="shared" si="42"/>
        <v>2</v>
      </c>
      <c r="K662" s="28">
        <v>147500</v>
      </c>
      <c r="L662" s="29">
        <v>0.81</v>
      </c>
      <c r="M662" s="31">
        <f t="shared" si="43"/>
        <v>119475.00000000001</v>
      </c>
      <c r="N662" s="28">
        <f t="shared" si="41"/>
        <v>28024.999999999993</v>
      </c>
    </row>
    <row r="663" spans="1:15" x14ac:dyDescent="0.35">
      <c r="A663">
        <v>708543003</v>
      </c>
      <c r="B663" t="s">
        <v>1914</v>
      </c>
      <c r="C663" t="s">
        <v>368</v>
      </c>
      <c r="D663" t="s">
        <v>392</v>
      </c>
      <c r="E663" s="30" t="s">
        <v>14</v>
      </c>
      <c r="F663" s="31">
        <v>0</v>
      </c>
      <c r="G663" s="31">
        <v>0</v>
      </c>
      <c r="H663" s="31">
        <v>0</v>
      </c>
      <c r="I663" s="31">
        <v>1</v>
      </c>
      <c r="J663" s="31">
        <f t="shared" si="42"/>
        <v>1</v>
      </c>
      <c r="K663" s="28">
        <v>147500</v>
      </c>
      <c r="L663" s="29">
        <v>0.81</v>
      </c>
      <c r="M663" s="31">
        <f t="shared" si="43"/>
        <v>119475.00000000001</v>
      </c>
      <c r="N663" s="28">
        <f t="shared" si="41"/>
        <v>28024.999999999993</v>
      </c>
    </row>
    <row r="664" spans="1:15" x14ac:dyDescent="0.35">
      <c r="A664">
        <v>721620001</v>
      </c>
      <c r="B664" t="s">
        <v>1915</v>
      </c>
      <c r="C664" t="s">
        <v>368</v>
      </c>
      <c r="D664" t="s">
        <v>392</v>
      </c>
      <c r="E664" s="30" t="s">
        <v>14</v>
      </c>
      <c r="F664" s="31">
        <v>0</v>
      </c>
      <c r="G664" s="31">
        <v>0</v>
      </c>
      <c r="H664" s="31">
        <v>0</v>
      </c>
      <c r="I664" s="31">
        <v>12</v>
      </c>
      <c r="J664" s="31">
        <f t="shared" si="42"/>
        <v>12</v>
      </c>
      <c r="K664" s="28">
        <v>118000</v>
      </c>
      <c r="L664" s="29">
        <v>0.81</v>
      </c>
      <c r="M664" s="31">
        <f t="shared" si="43"/>
        <v>95580</v>
      </c>
      <c r="N664" s="28">
        <f t="shared" si="41"/>
        <v>22419.999999999993</v>
      </c>
    </row>
    <row r="665" spans="1:15" x14ac:dyDescent="0.35">
      <c r="A665">
        <v>721622001</v>
      </c>
      <c r="B665" t="s">
        <v>1006</v>
      </c>
      <c r="C665" t="s">
        <v>368</v>
      </c>
      <c r="D665" t="s">
        <v>392</v>
      </c>
      <c r="E665" s="30" t="s">
        <v>14</v>
      </c>
      <c r="F665" s="31">
        <v>0</v>
      </c>
      <c r="G665" s="31">
        <v>0</v>
      </c>
      <c r="H665" s="31">
        <v>0</v>
      </c>
      <c r="I665" s="31">
        <v>17</v>
      </c>
      <c r="J665" s="31">
        <f t="shared" si="42"/>
        <v>17</v>
      </c>
      <c r="K665" s="28">
        <v>79000</v>
      </c>
      <c r="L665" s="29">
        <v>0.81</v>
      </c>
      <c r="M665" s="31">
        <f t="shared" si="43"/>
        <v>63990.000000000007</v>
      </c>
      <c r="N665" s="28">
        <f t="shared" si="41"/>
        <v>15009.999999999996</v>
      </c>
      <c r="O665" s="28">
        <v>59000</v>
      </c>
    </row>
    <row r="666" spans="1:15" x14ac:dyDescent="0.35">
      <c r="A666">
        <v>722711001</v>
      </c>
      <c r="B666" t="s">
        <v>1916</v>
      </c>
      <c r="C666" t="s">
        <v>368</v>
      </c>
      <c r="D666" t="s">
        <v>392</v>
      </c>
      <c r="E666" s="30" t="s">
        <v>14</v>
      </c>
      <c r="F666" s="31">
        <v>0</v>
      </c>
      <c r="G666" s="31">
        <v>0</v>
      </c>
      <c r="H666" s="31">
        <v>0</v>
      </c>
      <c r="I666" s="31">
        <v>17</v>
      </c>
      <c r="J666" s="31">
        <f t="shared" si="42"/>
        <v>17</v>
      </c>
      <c r="K666" s="28">
        <v>99000</v>
      </c>
      <c r="L666" s="29">
        <v>0.81</v>
      </c>
      <c r="M666" s="31">
        <f t="shared" si="43"/>
        <v>80190</v>
      </c>
      <c r="N666" s="28">
        <f t="shared" si="41"/>
        <v>18809.999999999996</v>
      </c>
    </row>
    <row r="667" spans="1:15" x14ac:dyDescent="0.35">
      <c r="A667">
        <v>733473001</v>
      </c>
      <c r="B667" t="s">
        <v>1917</v>
      </c>
      <c r="C667" t="s">
        <v>368</v>
      </c>
      <c r="D667" t="s">
        <v>392</v>
      </c>
      <c r="E667" s="30" t="s">
        <v>14</v>
      </c>
      <c r="F667" s="31">
        <v>0</v>
      </c>
      <c r="G667" s="31">
        <v>0</v>
      </c>
      <c r="H667" s="31">
        <v>0</v>
      </c>
      <c r="I667" s="31">
        <v>4</v>
      </c>
      <c r="J667" s="31">
        <f t="shared" si="42"/>
        <v>4</v>
      </c>
      <c r="K667" s="28">
        <v>148000</v>
      </c>
      <c r="L667" s="29">
        <v>0.81</v>
      </c>
      <c r="M667" s="31">
        <f t="shared" si="43"/>
        <v>119880.00000000001</v>
      </c>
      <c r="N667" s="28">
        <f t="shared" si="41"/>
        <v>28119.999999999993</v>
      </c>
    </row>
    <row r="668" spans="1:15" x14ac:dyDescent="0.35">
      <c r="A668">
        <v>733475001</v>
      </c>
      <c r="B668" t="s">
        <v>1918</v>
      </c>
      <c r="C668" t="s">
        <v>368</v>
      </c>
      <c r="D668" t="s">
        <v>392</v>
      </c>
      <c r="E668" s="30" t="s">
        <v>14</v>
      </c>
      <c r="F668" s="31">
        <v>0</v>
      </c>
      <c r="G668" s="31">
        <v>0</v>
      </c>
      <c r="H668" s="31">
        <v>0</v>
      </c>
      <c r="I668" s="31">
        <v>9</v>
      </c>
      <c r="J668" s="31">
        <f t="shared" si="42"/>
        <v>9</v>
      </c>
      <c r="K668" s="28">
        <v>168000</v>
      </c>
      <c r="L668" s="29">
        <v>0.81</v>
      </c>
      <c r="M668" s="31">
        <f t="shared" si="43"/>
        <v>136080</v>
      </c>
      <c r="N668" s="28">
        <f t="shared" si="41"/>
        <v>31919.999999999993</v>
      </c>
    </row>
    <row r="669" spans="1:15" x14ac:dyDescent="0.35">
      <c r="A669">
        <v>736578002</v>
      </c>
      <c r="B669" t="s">
        <v>1919</v>
      </c>
      <c r="C669" t="s">
        <v>365</v>
      </c>
      <c r="D669" t="s">
        <v>29</v>
      </c>
      <c r="E669" s="30" t="s">
        <v>14</v>
      </c>
      <c r="F669" s="31">
        <v>0</v>
      </c>
      <c r="G669" s="31">
        <v>0</v>
      </c>
      <c r="H669" s="31">
        <v>0</v>
      </c>
      <c r="I669" s="31">
        <v>4</v>
      </c>
      <c r="J669" s="31">
        <f t="shared" si="42"/>
        <v>4</v>
      </c>
      <c r="K669" s="28">
        <v>168000</v>
      </c>
      <c r="L669" s="29">
        <v>0.81</v>
      </c>
      <c r="M669" s="31">
        <f t="shared" si="43"/>
        <v>136080</v>
      </c>
      <c r="N669" s="28">
        <f t="shared" si="41"/>
        <v>31919.999999999993</v>
      </c>
    </row>
    <row r="670" spans="1:15" x14ac:dyDescent="0.35">
      <c r="A670">
        <v>736578004</v>
      </c>
      <c r="B670" t="s">
        <v>1920</v>
      </c>
      <c r="C670" t="s">
        <v>365</v>
      </c>
      <c r="D670" t="s">
        <v>29</v>
      </c>
      <c r="E670" s="30" t="s">
        <v>14</v>
      </c>
      <c r="F670" s="31">
        <v>0</v>
      </c>
      <c r="G670" s="31">
        <v>0</v>
      </c>
      <c r="H670" s="31">
        <v>0</v>
      </c>
      <c r="I670" s="31">
        <v>4</v>
      </c>
      <c r="J670" s="31">
        <f t="shared" si="42"/>
        <v>4</v>
      </c>
      <c r="K670" s="28">
        <v>168000</v>
      </c>
      <c r="L670" s="29">
        <v>0.81</v>
      </c>
      <c r="M670" s="31">
        <f t="shared" si="43"/>
        <v>136080</v>
      </c>
      <c r="N670" s="28">
        <f t="shared" si="41"/>
        <v>31919.999999999993</v>
      </c>
    </row>
    <row r="671" spans="1:15" x14ac:dyDescent="0.35">
      <c r="A671">
        <v>741744001</v>
      </c>
      <c r="B671" t="s">
        <v>27</v>
      </c>
      <c r="C671" t="s">
        <v>28</v>
      </c>
      <c r="D671" t="s">
        <v>29</v>
      </c>
      <c r="E671" s="30">
        <v>0</v>
      </c>
      <c r="F671" s="31">
        <v>0</v>
      </c>
      <c r="G671" s="31">
        <v>0</v>
      </c>
      <c r="H671" s="31">
        <v>0</v>
      </c>
      <c r="I671" s="31">
        <v>3</v>
      </c>
      <c r="J671" s="31">
        <f t="shared" si="42"/>
        <v>3</v>
      </c>
      <c r="K671" s="28">
        <v>428000</v>
      </c>
      <c r="L671" s="29">
        <v>0.17</v>
      </c>
      <c r="M671" s="31">
        <f t="shared" si="43"/>
        <v>72760</v>
      </c>
      <c r="N671" s="28">
        <f t="shared" si="41"/>
        <v>355240</v>
      </c>
    </row>
    <row r="672" spans="1:15" x14ac:dyDescent="0.35">
      <c r="A672">
        <v>741744002</v>
      </c>
      <c r="B672" t="s">
        <v>30</v>
      </c>
      <c r="C672" t="s">
        <v>28</v>
      </c>
      <c r="D672" t="s">
        <v>29</v>
      </c>
      <c r="E672" s="30">
        <v>0</v>
      </c>
      <c r="F672" s="31">
        <v>0</v>
      </c>
      <c r="G672" s="31">
        <v>0</v>
      </c>
      <c r="H672" s="31">
        <v>0</v>
      </c>
      <c r="I672" s="31">
        <v>5</v>
      </c>
      <c r="J672" s="31">
        <f t="shared" si="42"/>
        <v>5</v>
      </c>
      <c r="K672" s="28">
        <v>428000</v>
      </c>
      <c r="L672" s="29">
        <v>0.17</v>
      </c>
      <c r="M672" s="31">
        <f t="shared" si="43"/>
        <v>72760</v>
      </c>
      <c r="N672" s="28">
        <f t="shared" si="41"/>
        <v>355240</v>
      </c>
    </row>
    <row r="673" spans="1:14" x14ac:dyDescent="0.35">
      <c r="A673">
        <v>741744003</v>
      </c>
      <c r="B673" t="s">
        <v>31</v>
      </c>
      <c r="C673" t="s">
        <v>28</v>
      </c>
      <c r="D673" t="s">
        <v>29</v>
      </c>
      <c r="E673" s="30">
        <v>0</v>
      </c>
      <c r="F673" s="31">
        <v>0</v>
      </c>
      <c r="G673" s="31">
        <v>0</v>
      </c>
      <c r="H673" s="31">
        <v>0</v>
      </c>
      <c r="I673" s="31">
        <v>20</v>
      </c>
      <c r="J673" s="31">
        <f t="shared" si="42"/>
        <v>20</v>
      </c>
      <c r="K673" s="28">
        <v>428000</v>
      </c>
      <c r="L673" s="29">
        <v>0.17</v>
      </c>
      <c r="M673" s="31">
        <f t="shared" si="43"/>
        <v>72760</v>
      </c>
      <c r="N673" s="28">
        <f t="shared" si="41"/>
        <v>355240</v>
      </c>
    </row>
    <row r="674" spans="1:14" x14ac:dyDescent="0.35">
      <c r="A674">
        <v>741744004</v>
      </c>
      <c r="B674" t="s">
        <v>32</v>
      </c>
      <c r="C674" t="s">
        <v>28</v>
      </c>
      <c r="D674" t="s">
        <v>29</v>
      </c>
      <c r="E674" s="30">
        <v>0</v>
      </c>
      <c r="F674" s="31">
        <v>0</v>
      </c>
      <c r="G674" s="31">
        <v>0</v>
      </c>
      <c r="H674" s="31">
        <v>0</v>
      </c>
      <c r="I674" s="31">
        <v>22</v>
      </c>
      <c r="J674" s="31">
        <f t="shared" si="42"/>
        <v>22</v>
      </c>
      <c r="K674" s="28">
        <v>428000</v>
      </c>
      <c r="L674" s="29">
        <v>0.17</v>
      </c>
      <c r="M674" s="31">
        <f t="shared" si="43"/>
        <v>72760</v>
      </c>
      <c r="N674" s="28">
        <f t="shared" si="41"/>
        <v>355240</v>
      </c>
    </row>
    <row r="675" spans="1:14" x14ac:dyDescent="0.35">
      <c r="A675">
        <v>741744005</v>
      </c>
      <c r="B675" t="s">
        <v>33</v>
      </c>
      <c r="C675" t="s">
        <v>28</v>
      </c>
      <c r="D675" t="s">
        <v>29</v>
      </c>
      <c r="E675" s="30">
        <v>0</v>
      </c>
      <c r="F675" s="31">
        <v>0</v>
      </c>
      <c r="G675" s="31">
        <v>0</v>
      </c>
      <c r="H675" s="31">
        <v>0</v>
      </c>
      <c r="I675" s="31">
        <v>14</v>
      </c>
      <c r="J675" s="31">
        <f t="shared" si="42"/>
        <v>14</v>
      </c>
      <c r="K675" s="28">
        <v>428000</v>
      </c>
      <c r="L675" s="29">
        <v>0.17</v>
      </c>
      <c r="M675" s="31">
        <f t="shared" si="43"/>
        <v>72760</v>
      </c>
      <c r="N675" s="28">
        <f t="shared" si="41"/>
        <v>355240</v>
      </c>
    </row>
    <row r="676" spans="1:14" x14ac:dyDescent="0.35">
      <c r="A676">
        <v>741744006</v>
      </c>
      <c r="B676" t="s">
        <v>34</v>
      </c>
      <c r="C676" t="s">
        <v>28</v>
      </c>
      <c r="D676" t="s">
        <v>29</v>
      </c>
      <c r="E676" s="30">
        <v>0</v>
      </c>
      <c r="F676" s="31">
        <v>0</v>
      </c>
      <c r="G676" s="31">
        <v>0</v>
      </c>
      <c r="H676" s="31">
        <v>0</v>
      </c>
      <c r="I676" s="31">
        <v>3</v>
      </c>
      <c r="J676" s="31">
        <f t="shared" si="42"/>
        <v>3</v>
      </c>
      <c r="K676" s="28">
        <v>428000</v>
      </c>
      <c r="L676" s="29">
        <v>0.17</v>
      </c>
      <c r="M676" s="31">
        <f t="shared" si="43"/>
        <v>72760</v>
      </c>
      <c r="N676" s="28">
        <f t="shared" si="41"/>
        <v>355240</v>
      </c>
    </row>
    <row r="677" spans="1:14" x14ac:dyDescent="0.35">
      <c r="A677">
        <v>741744007</v>
      </c>
      <c r="B677" t="s">
        <v>35</v>
      </c>
      <c r="C677" t="s">
        <v>28</v>
      </c>
      <c r="D677" t="s">
        <v>29</v>
      </c>
      <c r="E677" s="30">
        <v>0</v>
      </c>
      <c r="F677" s="31">
        <v>0</v>
      </c>
      <c r="G677" s="31">
        <v>0</v>
      </c>
      <c r="H677" s="31">
        <v>0</v>
      </c>
      <c r="I677" s="31">
        <v>7</v>
      </c>
      <c r="J677" s="31">
        <f t="shared" si="42"/>
        <v>7</v>
      </c>
      <c r="K677" s="28">
        <v>428000</v>
      </c>
      <c r="L677" s="29">
        <v>0.17</v>
      </c>
      <c r="M677" s="31">
        <f t="shared" si="43"/>
        <v>72760</v>
      </c>
      <c r="N677" s="28">
        <f t="shared" si="41"/>
        <v>355240</v>
      </c>
    </row>
    <row r="678" spans="1:14" x14ac:dyDescent="0.35">
      <c r="A678">
        <v>741744008</v>
      </c>
      <c r="B678" t="s">
        <v>36</v>
      </c>
      <c r="C678" t="s">
        <v>28</v>
      </c>
      <c r="D678" t="s">
        <v>29</v>
      </c>
      <c r="E678" s="30">
        <v>0</v>
      </c>
      <c r="F678" s="31">
        <v>0</v>
      </c>
      <c r="G678" s="31">
        <v>0</v>
      </c>
      <c r="H678" s="31">
        <v>0</v>
      </c>
      <c r="I678" s="31">
        <v>13</v>
      </c>
      <c r="J678" s="31">
        <f t="shared" si="42"/>
        <v>13</v>
      </c>
      <c r="K678" s="28">
        <v>428000</v>
      </c>
      <c r="L678" s="29">
        <v>0.17</v>
      </c>
      <c r="M678" s="31">
        <f t="shared" si="43"/>
        <v>72760</v>
      </c>
      <c r="N678" s="28">
        <f t="shared" si="41"/>
        <v>355240</v>
      </c>
    </row>
    <row r="679" spans="1:14" x14ac:dyDescent="0.35">
      <c r="A679">
        <v>741744009</v>
      </c>
      <c r="B679" t="s">
        <v>37</v>
      </c>
      <c r="C679" t="s">
        <v>28</v>
      </c>
      <c r="D679" t="s">
        <v>29</v>
      </c>
      <c r="E679" s="30">
        <v>0</v>
      </c>
      <c r="F679" s="31">
        <v>0</v>
      </c>
      <c r="G679" s="31">
        <v>0</v>
      </c>
      <c r="H679" s="31">
        <v>0</v>
      </c>
      <c r="I679" s="31">
        <v>28</v>
      </c>
      <c r="J679" s="31">
        <f t="shared" si="42"/>
        <v>28</v>
      </c>
      <c r="K679" s="28">
        <v>428000</v>
      </c>
      <c r="L679" s="29">
        <v>0.17</v>
      </c>
      <c r="M679" s="31">
        <f t="shared" si="43"/>
        <v>72760</v>
      </c>
      <c r="N679" s="28">
        <f t="shared" si="41"/>
        <v>355240</v>
      </c>
    </row>
    <row r="680" spans="1:14" x14ac:dyDescent="0.35">
      <c r="A680">
        <v>741744010</v>
      </c>
      <c r="B680" t="s">
        <v>38</v>
      </c>
      <c r="C680" t="s">
        <v>28</v>
      </c>
      <c r="D680" t="s">
        <v>29</v>
      </c>
      <c r="E680" s="30">
        <v>0</v>
      </c>
      <c r="F680" s="31">
        <v>0</v>
      </c>
      <c r="G680" s="31">
        <v>0</v>
      </c>
      <c r="H680" s="31">
        <v>0</v>
      </c>
      <c r="I680" s="31">
        <v>17</v>
      </c>
      <c r="J680" s="31">
        <f t="shared" si="42"/>
        <v>17</v>
      </c>
      <c r="K680" s="28">
        <v>428000</v>
      </c>
      <c r="L680" s="29">
        <v>0.17</v>
      </c>
      <c r="M680" s="31">
        <f t="shared" si="43"/>
        <v>72760</v>
      </c>
      <c r="N680" s="28">
        <f t="shared" si="41"/>
        <v>355240</v>
      </c>
    </row>
    <row r="681" spans="1:14" x14ac:dyDescent="0.35">
      <c r="A681">
        <v>741744012</v>
      </c>
      <c r="B681" t="s">
        <v>39</v>
      </c>
      <c r="C681" t="s">
        <v>28</v>
      </c>
      <c r="D681" t="s">
        <v>29</v>
      </c>
      <c r="E681" s="30">
        <v>0</v>
      </c>
      <c r="F681" s="31">
        <v>0</v>
      </c>
      <c r="G681" s="31">
        <v>0</v>
      </c>
      <c r="H681" s="31">
        <v>0</v>
      </c>
      <c r="I681" s="31">
        <v>5</v>
      </c>
      <c r="J681" s="31">
        <f t="shared" si="42"/>
        <v>5</v>
      </c>
      <c r="K681" s="28">
        <v>428000</v>
      </c>
      <c r="L681" s="29">
        <v>0.17</v>
      </c>
      <c r="M681" s="31">
        <f t="shared" si="43"/>
        <v>72760</v>
      </c>
      <c r="N681" s="28">
        <f t="shared" si="41"/>
        <v>355240</v>
      </c>
    </row>
    <row r="682" spans="1:14" x14ac:dyDescent="0.35">
      <c r="A682">
        <v>741744013</v>
      </c>
      <c r="B682" t="s">
        <v>40</v>
      </c>
      <c r="C682" t="s">
        <v>28</v>
      </c>
      <c r="D682" t="s">
        <v>29</v>
      </c>
      <c r="E682" s="30">
        <v>0</v>
      </c>
      <c r="F682" s="31">
        <v>0</v>
      </c>
      <c r="G682" s="31">
        <v>0</v>
      </c>
      <c r="H682" s="31">
        <v>0</v>
      </c>
      <c r="I682" s="31">
        <v>5</v>
      </c>
      <c r="J682" s="31">
        <f t="shared" si="42"/>
        <v>5</v>
      </c>
      <c r="K682" s="28">
        <v>428000</v>
      </c>
      <c r="L682" s="29">
        <v>0.17</v>
      </c>
      <c r="M682" s="31">
        <f t="shared" si="43"/>
        <v>72760</v>
      </c>
      <c r="N682" s="28">
        <f t="shared" si="41"/>
        <v>355240</v>
      </c>
    </row>
    <row r="683" spans="1:14" x14ac:dyDescent="0.35">
      <c r="A683">
        <v>741744014</v>
      </c>
      <c r="B683" t="s">
        <v>41</v>
      </c>
      <c r="C683" t="s">
        <v>28</v>
      </c>
      <c r="D683" t="s">
        <v>29</v>
      </c>
      <c r="E683" s="30">
        <v>0</v>
      </c>
      <c r="F683" s="31">
        <v>0</v>
      </c>
      <c r="G683" s="31">
        <v>0</v>
      </c>
      <c r="H683" s="31">
        <v>0</v>
      </c>
      <c r="I683" s="31">
        <v>21</v>
      </c>
      <c r="J683" s="31">
        <f t="shared" si="42"/>
        <v>21</v>
      </c>
      <c r="K683" s="28">
        <v>428000</v>
      </c>
      <c r="L683" s="29">
        <v>0.17</v>
      </c>
      <c r="M683" s="31">
        <f t="shared" si="43"/>
        <v>72760</v>
      </c>
      <c r="N683" s="28">
        <f t="shared" si="41"/>
        <v>355240</v>
      </c>
    </row>
    <row r="684" spans="1:14" x14ac:dyDescent="0.35">
      <c r="A684">
        <v>741744015</v>
      </c>
      <c r="B684" t="s">
        <v>42</v>
      </c>
      <c r="C684" t="s">
        <v>28</v>
      </c>
      <c r="D684" t="s">
        <v>29</v>
      </c>
      <c r="E684" s="30">
        <v>0</v>
      </c>
      <c r="F684" s="31">
        <v>0</v>
      </c>
      <c r="G684" s="31">
        <v>0</v>
      </c>
      <c r="H684" s="31">
        <v>0</v>
      </c>
      <c r="I684" s="31">
        <v>12</v>
      </c>
      <c r="J684" s="31">
        <f t="shared" si="42"/>
        <v>12</v>
      </c>
      <c r="K684" s="28">
        <v>428000</v>
      </c>
      <c r="L684" s="29">
        <v>0.17</v>
      </c>
      <c r="M684" s="31">
        <f t="shared" si="43"/>
        <v>72760</v>
      </c>
      <c r="N684" s="28">
        <f t="shared" si="41"/>
        <v>355240</v>
      </c>
    </row>
    <row r="685" spans="1:14" x14ac:dyDescent="0.35">
      <c r="A685">
        <v>741744016</v>
      </c>
      <c r="B685" t="s">
        <v>43</v>
      </c>
      <c r="C685" t="s">
        <v>28</v>
      </c>
      <c r="D685" t="s">
        <v>29</v>
      </c>
      <c r="E685" s="30">
        <v>0</v>
      </c>
      <c r="F685" s="31">
        <v>0</v>
      </c>
      <c r="G685" s="31">
        <v>0</v>
      </c>
      <c r="H685" s="31">
        <v>0</v>
      </c>
      <c r="I685" s="31">
        <v>2</v>
      </c>
      <c r="J685" s="31">
        <f t="shared" si="42"/>
        <v>2</v>
      </c>
      <c r="K685" s="28">
        <v>428000</v>
      </c>
      <c r="L685" s="29">
        <v>0.17</v>
      </c>
      <c r="M685" s="31">
        <f t="shared" si="43"/>
        <v>72760</v>
      </c>
      <c r="N685" s="28">
        <f t="shared" si="41"/>
        <v>355240</v>
      </c>
    </row>
    <row r="686" spans="1:14" x14ac:dyDescent="0.35">
      <c r="A686">
        <v>741744017</v>
      </c>
      <c r="B686" t="s">
        <v>44</v>
      </c>
      <c r="C686" t="s">
        <v>28</v>
      </c>
      <c r="D686" t="s">
        <v>29</v>
      </c>
      <c r="E686" s="30">
        <v>0</v>
      </c>
      <c r="F686" s="31">
        <v>0</v>
      </c>
      <c r="G686" s="31">
        <v>0</v>
      </c>
      <c r="H686" s="31">
        <v>0</v>
      </c>
      <c r="I686" s="31">
        <v>2</v>
      </c>
      <c r="J686" s="31">
        <f t="shared" si="42"/>
        <v>2</v>
      </c>
      <c r="K686" s="28">
        <v>428000</v>
      </c>
      <c r="L686" s="29">
        <v>0.17</v>
      </c>
      <c r="M686" s="31">
        <f t="shared" si="43"/>
        <v>72760</v>
      </c>
      <c r="N686" s="28">
        <f t="shared" si="41"/>
        <v>355240</v>
      </c>
    </row>
    <row r="687" spans="1:14" x14ac:dyDescent="0.35">
      <c r="A687">
        <v>741744018</v>
      </c>
      <c r="B687" t="s">
        <v>45</v>
      </c>
      <c r="C687" t="s">
        <v>28</v>
      </c>
      <c r="D687" t="s">
        <v>29</v>
      </c>
      <c r="E687" s="30">
        <v>0</v>
      </c>
      <c r="F687" s="31">
        <v>0</v>
      </c>
      <c r="G687" s="31">
        <v>0</v>
      </c>
      <c r="H687" s="31">
        <v>0</v>
      </c>
      <c r="I687" s="31">
        <v>9</v>
      </c>
      <c r="J687" s="31">
        <f t="shared" si="42"/>
        <v>9</v>
      </c>
      <c r="K687" s="28">
        <v>428000</v>
      </c>
      <c r="L687" s="29">
        <v>0.17</v>
      </c>
      <c r="M687" s="31">
        <f t="shared" si="43"/>
        <v>72760</v>
      </c>
      <c r="N687" s="28">
        <f t="shared" si="41"/>
        <v>355240</v>
      </c>
    </row>
    <row r="688" spans="1:14" x14ac:dyDescent="0.35">
      <c r="A688">
        <v>741744019</v>
      </c>
      <c r="B688" t="s">
        <v>46</v>
      </c>
      <c r="C688" t="s">
        <v>28</v>
      </c>
      <c r="D688" t="s">
        <v>29</v>
      </c>
      <c r="E688" s="30">
        <v>0</v>
      </c>
      <c r="F688" s="31">
        <v>0</v>
      </c>
      <c r="G688" s="31">
        <v>0</v>
      </c>
      <c r="H688" s="31">
        <v>0</v>
      </c>
      <c r="I688" s="31">
        <v>16</v>
      </c>
      <c r="J688" s="31">
        <f t="shared" si="42"/>
        <v>16</v>
      </c>
      <c r="K688" s="28">
        <v>428000</v>
      </c>
      <c r="L688" s="29">
        <v>0.17</v>
      </c>
      <c r="M688" s="31">
        <f t="shared" si="43"/>
        <v>72760</v>
      </c>
      <c r="N688" s="28">
        <f t="shared" si="41"/>
        <v>355240</v>
      </c>
    </row>
    <row r="689" spans="1:15" x14ac:dyDescent="0.35">
      <c r="A689">
        <v>741744020</v>
      </c>
      <c r="B689" t="s">
        <v>47</v>
      </c>
      <c r="C689" t="s">
        <v>28</v>
      </c>
      <c r="D689" t="s">
        <v>29</v>
      </c>
      <c r="E689" s="30">
        <v>0</v>
      </c>
      <c r="F689" s="31">
        <v>0</v>
      </c>
      <c r="G689" s="31">
        <v>0</v>
      </c>
      <c r="H689" s="31">
        <v>0</v>
      </c>
      <c r="I689" s="31">
        <v>14</v>
      </c>
      <c r="J689" s="31">
        <f t="shared" si="42"/>
        <v>14</v>
      </c>
      <c r="K689" s="28">
        <v>428000</v>
      </c>
      <c r="L689" s="29">
        <v>0.17</v>
      </c>
      <c r="M689" s="31">
        <f t="shared" si="43"/>
        <v>72760</v>
      </c>
      <c r="N689" s="28">
        <f t="shared" si="41"/>
        <v>355240</v>
      </c>
    </row>
    <row r="690" spans="1:15" x14ac:dyDescent="0.35">
      <c r="A690">
        <v>741744022</v>
      </c>
      <c r="B690" t="s">
        <v>48</v>
      </c>
      <c r="C690" t="s">
        <v>28</v>
      </c>
      <c r="D690" t="s">
        <v>29</v>
      </c>
      <c r="E690" s="30">
        <v>0</v>
      </c>
      <c r="F690" s="31">
        <v>0</v>
      </c>
      <c r="G690" s="31">
        <v>0</v>
      </c>
      <c r="H690" s="31">
        <v>0</v>
      </c>
      <c r="I690" s="31">
        <v>4</v>
      </c>
      <c r="J690" s="31">
        <f t="shared" si="42"/>
        <v>4</v>
      </c>
      <c r="K690" s="28">
        <v>428000</v>
      </c>
      <c r="L690" s="29">
        <v>0.17</v>
      </c>
      <c r="M690" s="31">
        <f t="shared" si="43"/>
        <v>72760</v>
      </c>
      <c r="N690" s="28">
        <f t="shared" si="41"/>
        <v>355240</v>
      </c>
    </row>
    <row r="691" spans="1:15" x14ac:dyDescent="0.35">
      <c r="A691">
        <v>741744023</v>
      </c>
      <c r="B691" t="s">
        <v>49</v>
      </c>
      <c r="C691" t="s">
        <v>28</v>
      </c>
      <c r="D691" t="s">
        <v>29</v>
      </c>
      <c r="E691" s="30">
        <v>0</v>
      </c>
      <c r="F691" s="31">
        <v>0</v>
      </c>
      <c r="G691" s="31">
        <v>0</v>
      </c>
      <c r="H691" s="31">
        <v>0</v>
      </c>
      <c r="I691" s="31">
        <v>11</v>
      </c>
      <c r="J691" s="31">
        <f t="shared" si="42"/>
        <v>11</v>
      </c>
      <c r="K691" s="28">
        <v>428000</v>
      </c>
      <c r="L691" s="29">
        <v>0.17</v>
      </c>
      <c r="M691" s="31">
        <f t="shared" si="43"/>
        <v>72760</v>
      </c>
      <c r="N691" s="28">
        <f t="shared" si="41"/>
        <v>355240</v>
      </c>
    </row>
    <row r="692" spans="1:15" x14ac:dyDescent="0.35">
      <c r="A692">
        <v>741744024</v>
      </c>
      <c r="B692" t="s">
        <v>50</v>
      </c>
      <c r="C692" t="s">
        <v>28</v>
      </c>
      <c r="D692" t="s">
        <v>29</v>
      </c>
      <c r="E692" s="30">
        <v>0</v>
      </c>
      <c r="F692" s="31">
        <v>0</v>
      </c>
      <c r="G692" s="31">
        <v>0</v>
      </c>
      <c r="H692" s="31">
        <v>0</v>
      </c>
      <c r="I692" s="31">
        <v>26</v>
      </c>
      <c r="J692" s="31">
        <f t="shared" si="42"/>
        <v>26</v>
      </c>
      <c r="K692" s="28">
        <v>428000</v>
      </c>
      <c r="L692" s="29">
        <v>0.17</v>
      </c>
      <c r="M692" s="31">
        <f t="shared" si="43"/>
        <v>72760</v>
      </c>
      <c r="N692" s="28">
        <f t="shared" si="41"/>
        <v>355240</v>
      </c>
    </row>
    <row r="693" spans="1:15" x14ac:dyDescent="0.35">
      <c r="A693">
        <v>741744025</v>
      </c>
      <c r="B693" t="s">
        <v>51</v>
      </c>
      <c r="C693" t="s">
        <v>28</v>
      </c>
      <c r="D693" t="s">
        <v>29</v>
      </c>
      <c r="E693" s="30">
        <v>0</v>
      </c>
      <c r="F693" s="31">
        <v>0</v>
      </c>
      <c r="G693" s="31">
        <v>0</v>
      </c>
      <c r="H693" s="31">
        <v>0</v>
      </c>
      <c r="I693" s="31">
        <v>10</v>
      </c>
      <c r="J693" s="31">
        <f t="shared" si="42"/>
        <v>10</v>
      </c>
      <c r="K693" s="28">
        <v>428000</v>
      </c>
      <c r="L693" s="29">
        <v>0.17</v>
      </c>
      <c r="M693" s="31">
        <f t="shared" si="43"/>
        <v>72760</v>
      </c>
      <c r="N693" s="28">
        <f t="shared" si="41"/>
        <v>355240</v>
      </c>
    </row>
    <row r="694" spans="1:15" x14ac:dyDescent="0.35">
      <c r="A694">
        <v>705720004</v>
      </c>
      <c r="B694" t="s">
        <v>1921</v>
      </c>
      <c r="C694" t="s">
        <v>368</v>
      </c>
      <c r="D694" t="s">
        <v>29</v>
      </c>
      <c r="E694" s="30" t="s">
        <v>14</v>
      </c>
      <c r="F694" s="31">
        <v>0</v>
      </c>
      <c r="G694" s="31">
        <v>0</v>
      </c>
      <c r="H694" s="31">
        <v>0</v>
      </c>
      <c r="I694" s="31">
        <v>1</v>
      </c>
      <c r="J694" s="31">
        <f t="shared" si="42"/>
        <v>1</v>
      </c>
      <c r="K694" s="28">
        <v>180000</v>
      </c>
      <c r="L694" s="29">
        <v>0.81</v>
      </c>
      <c r="M694" s="31">
        <f t="shared" si="43"/>
        <v>145800</v>
      </c>
      <c r="N694" s="28">
        <f t="shared" si="41"/>
        <v>34199.999999999993</v>
      </c>
    </row>
    <row r="695" spans="1:15" x14ac:dyDescent="0.35">
      <c r="A695">
        <v>733009010</v>
      </c>
      <c r="B695" t="s">
        <v>1030</v>
      </c>
      <c r="C695" t="s">
        <v>368</v>
      </c>
      <c r="D695" t="s">
        <v>29</v>
      </c>
      <c r="E695" s="30" t="s">
        <v>14</v>
      </c>
      <c r="F695" s="31">
        <v>0</v>
      </c>
      <c r="G695" s="31">
        <v>0</v>
      </c>
      <c r="H695" s="31">
        <v>0</v>
      </c>
      <c r="I695" s="31">
        <v>1</v>
      </c>
      <c r="J695" s="31">
        <f t="shared" si="42"/>
        <v>1</v>
      </c>
      <c r="K695" s="28">
        <v>428000</v>
      </c>
      <c r="L695" s="29">
        <v>0.81</v>
      </c>
      <c r="M695" s="31">
        <f t="shared" si="43"/>
        <v>346680</v>
      </c>
      <c r="N695" s="28">
        <f t="shared" si="41"/>
        <v>81319.999999999971</v>
      </c>
      <c r="O695" s="28">
        <v>214000</v>
      </c>
    </row>
    <row r="696" spans="1:15" x14ac:dyDescent="0.35">
      <c r="A696">
        <v>735140012</v>
      </c>
      <c r="B696" t="s">
        <v>1031</v>
      </c>
      <c r="C696" t="s">
        <v>368</v>
      </c>
      <c r="D696" t="s">
        <v>29</v>
      </c>
      <c r="E696" s="30" t="s">
        <v>14</v>
      </c>
      <c r="F696" s="31">
        <v>0</v>
      </c>
      <c r="G696" s="31">
        <v>0</v>
      </c>
      <c r="H696" s="31">
        <v>0</v>
      </c>
      <c r="I696" s="31">
        <v>1</v>
      </c>
      <c r="J696" s="31">
        <f t="shared" si="42"/>
        <v>1</v>
      </c>
      <c r="K696" s="28">
        <v>548000</v>
      </c>
      <c r="L696" s="29">
        <v>0.81</v>
      </c>
      <c r="M696" s="31">
        <f t="shared" si="43"/>
        <v>443880.00000000006</v>
      </c>
      <c r="N696" s="28">
        <f t="shared" si="41"/>
        <v>104119.99999999997</v>
      </c>
      <c r="O696" s="28">
        <v>274000</v>
      </c>
    </row>
    <row r="697" spans="1:15" x14ac:dyDescent="0.35">
      <c r="A697">
        <v>735140016</v>
      </c>
      <c r="B697" t="s">
        <v>1032</v>
      </c>
      <c r="C697" t="s">
        <v>368</v>
      </c>
      <c r="D697" t="s">
        <v>29</v>
      </c>
      <c r="E697" s="30" t="s">
        <v>14</v>
      </c>
      <c r="F697" s="31">
        <v>0</v>
      </c>
      <c r="G697" s="31">
        <v>0</v>
      </c>
      <c r="H697" s="31">
        <v>0</v>
      </c>
      <c r="I697" s="31">
        <v>1</v>
      </c>
      <c r="J697" s="31">
        <f t="shared" si="42"/>
        <v>1</v>
      </c>
      <c r="K697" s="28">
        <v>548000</v>
      </c>
      <c r="L697" s="29">
        <v>0.81</v>
      </c>
      <c r="M697" s="31">
        <f t="shared" si="43"/>
        <v>443880.00000000006</v>
      </c>
      <c r="N697" s="28">
        <f t="shared" si="41"/>
        <v>104119.99999999997</v>
      </c>
      <c r="O697" s="28">
        <v>274000</v>
      </c>
    </row>
    <row r="698" spans="1:15" x14ac:dyDescent="0.35">
      <c r="A698">
        <v>735140019</v>
      </c>
      <c r="B698" t="s">
        <v>1033</v>
      </c>
      <c r="C698" t="s">
        <v>368</v>
      </c>
      <c r="D698" t="s">
        <v>29</v>
      </c>
      <c r="E698" s="30" t="s">
        <v>14</v>
      </c>
      <c r="F698" s="31">
        <v>0</v>
      </c>
      <c r="G698" s="31">
        <v>0</v>
      </c>
      <c r="H698" s="31">
        <v>0</v>
      </c>
      <c r="I698" s="31">
        <v>2</v>
      </c>
      <c r="J698" s="31">
        <f t="shared" si="42"/>
        <v>2</v>
      </c>
      <c r="K698" s="28">
        <v>548000</v>
      </c>
      <c r="L698" s="29">
        <v>0.81</v>
      </c>
      <c r="M698" s="31">
        <f t="shared" si="43"/>
        <v>443880.00000000006</v>
      </c>
      <c r="N698" s="28">
        <f t="shared" si="41"/>
        <v>104119.99999999997</v>
      </c>
      <c r="O698" s="28">
        <v>274000</v>
      </c>
    </row>
    <row r="699" spans="1:15" x14ac:dyDescent="0.35">
      <c r="A699">
        <v>735142010</v>
      </c>
      <c r="B699" t="s">
        <v>1037</v>
      </c>
      <c r="C699" t="s">
        <v>368</v>
      </c>
      <c r="D699" t="s">
        <v>29</v>
      </c>
      <c r="E699" s="30" t="s">
        <v>14</v>
      </c>
      <c r="F699" s="31">
        <v>0</v>
      </c>
      <c r="G699" s="31">
        <v>0</v>
      </c>
      <c r="H699" s="31">
        <v>0</v>
      </c>
      <c r="I699" s="31">
        <v>1</v>
      </c>
      <c r="J699" s="31">
        <f t="shared" si="42"/>
        <v>1</v>
      </c>
      <c r="K699" s="28">
        <v>548000</v>
      </c>
      <c r="L699" s="29">
        <v>0.81</v>
      </c>
      <c r="M699" s="31">
        <f t="shared" si="43"/>
        <v>443880.00000000006</v>
      </c>
      <c r="N699" s="28">
        <f t="shared" si="41"/>
        <v>104119.99999999997</v>
      </c>
      <c r="O699" s="28">
        <v>274000</v>
      </c>
    </row>
    <row r="700" spans="1:15" x14ac:dyDescent="0.35">
      <c r="A700">
        <v>735142015</v>
      </c>
      <c r="B700" t="s">
        <v>1039</v>
      </c>
      <c r="C700" t="s">
        <v>368</v>
      </c>
      <c r="D700" t="s">
        <v>29</v>
      </c>
      <c r="E700" s="30" t="s">
        <v>14</v>
      </c>
      <c r="F700" s="31">
        <v>0</v>
      </c>
      <c r="G700" s="31">
        <v>0</v>
      </c>
      <c r="H700" s="31">
        <v>0</v>
      </c>
      <c r="I700" s="31">
        <v>1</v>
      </c>
      <c r="J700" s="31">
        <f t="shared" si="42"/>
        <v>1</v>
      </c>
      <c r="K700" s="28">
        <v>548000</v>
      </c>
      <c r="L700" s="29">
        <v>0.81</v>
      </c>
      <c r="M700" s="31">
        <f t="shared" si="43"/>
        <v>443880.00000000006</v>
      </c>
      <c r="N700" s="28">
        <f t="shared" si="41"/>
        <v>104119.99999999997</v>
      </c>
      <c r="O700" s="28">
        <v>274000</v>
      </c>
    </row>
    <row r="701" spans="1:15" x14ac:dyDescent="0.35">
      <c r="A701">
        <v>735142016</v>
      </c>
      <c r="B701" t="s">
        <v>1040</v>
      </c>
      <c r="C701" t="s">
        <v>368</v>
      </c>
      <c r="D701" t="s">
        <v>29</v>
      </c>
      <c r="E701" s="30" t="s">
        <v>14</v>
      </c>
      <c r="F701" s="31">
        <v>0</v>
      </c>
      <c r="G701" s="31">
        <v>0</v>
      </c>
      <c r="H701" s="31">
        <v>0</v>
      </c>
      <c r="I701" s="31">
        <v>2</v>
      </c>
      <c r="J701" s="31">
        <f t="shared" si="42"/>
        <v>2</v>
      </c>
      <c r="K701" s="28">
        <v>548000</v>
      </c>
      <c r="L701" s="29">
        <v>0.81</v>
      </c>
      <c r="M701" s="31">
        <f t="shared" si="43"/>
        <v>443880.00000000006</v>
      </c>
      <c r="N701" s="28">
        <f t="shared" si="41"/>
        <v>104119.99999999997</v>
      </c>
      <c r="O701" s="28">
        <v>274000</v>
      </c>
    </row>
    <row r="702" spans="1:15" x14ac:dyDescent="0.35">
      <c r="A702">
        <v>730509002</v>
      </c>
      <c r="B702" t="s">
        <v>221</v>
      </c>
      <c r="C702" t="s">
        <v>92</v>
      </c>
      <c r="D702" t="s">
        <v>29</v>
      </c>
      <c r="E702" s="30" t="s">
        <v>14</v>
      </c>
      <c r="F702" s="31">
        <v>0</v>
      </c>
      <c r="G702" s="31">
        <v>0</v>
      </c>
      <c r="H702" s="31">
        <v>0</v>
      </c>
      <c r="I702" s="31">
        <v>2</v>
      </c>
      <c r="J702" s="31">
        <f t="shared" si="42"/>
        <v>2</v>
      </c>
      <c r="K702" s="28">
        <v>2348000</v>
      </c>
      <c r="L702" s="29">
        <v>0.45</v>
      </c>
      <c r="M702" s="31">
        <f t="shared" si="43"/>
        <v>1056600</v>
      </c>
      <c r="N702" s="28">
        <f t="shared" si="41"/>
        <v>1291400</v>
      </c>
      <c r="O702" s="28">
        <v>1878400</v>
      </c>
    </row>
    <row r="703" spans="1:15" x14ac:dyDescent="0.35">
      <c r="A703">
        <v>730509005</v>
      </c>
      <c r="B703" t="s">
        <v>222</v>
      </c>
      <c r="C703" t="s">
        <v>92</v>
      </c>
      <c r="D703" t="s">
        <v>29</v>
      </c>
      <c r="E703" s="30" t="s">
        <v>14</v>
      </c>
      <c r="F703" s="31">
        <v>0</v>
      </c>
      <c r="G703" s="31">
        <v>0</v>
      </c>
      <c r="H703" s="31">
        <v>0</v>
      </c>
      <c r="I703" s="31">
        <v>1</v>
      </c>
      <c r="J703" s="31">
        <f t="shared" si="42"/>
        <v>1</v>
      </c>
      <c r="K703" s="28">
        <v>2348000</v>
      </c>
      <c r="L703" s="29">
        <v>0.45</v>
      </c>
      <c r="M703" s="31">
        <f t="shared" si="43"/>
        <v>1056600</v>
      </c>
      <c r="N703" s="28">
        <f t="shared" si="41"/>
        <v>1291400</v>
      </c>
      <c r="O703" s="28">
        <v>1878400</v>
      </c>
    </row>
    <row r="704" spans="1:15" x14ac:dyDescent="0.35">
      <c r="A704">
        <v>730509010</v>
      </c>
      <c r="B704" t="s">
        <v>223</v>
      </c>
      <c r="C704" t="s">
        <v>92</v>
      </c>
      <c r="D704" t="s">
        <v>29</v>
      </c>
      <c r="E704" s="30" t="s">
        <v>14</v>
      </c>
      <c r="F704" s="31">
        <v>0</v>
      </c>
      <c r="G704" s="31">
        <v>0</v>
      </c>
      <c r="H704" s="31">
        <v>0</v>
      </c>
      <c r="I704" s="31">
        <v>2</v>
      </c>
      <c r="J704" s="31">
        <f t="shared" si="42"/>
        <v>2</v>
      </c>
      <c r="K704" s="28">
        <v>2348000</v>
      </c>
      <c r="L704" s="29">
        <v>0.45</v>
      </c>
      <c r="M704" s="31">
        <f t="shared" si="43"/>
        <v>1056600</v>
      </c>
      <c r="N704" s="28">
        <f t="shared" si="41"/>
        <v>1291400</v>
      </c>
      <c r="O704" s="28">
        <v>1878400</v>
      </c>
    </row>
    <row r="705" spans="1:15" x14ac:dyDescent="0.35">
      <c r="A705">
        <v>733193002</v>
      </c>
      <c r="B705" t="s">
        <v>201</v>
      </c>
      <c r="C705" t="s">
        <v>92</v>
      </c>
      <c r="D705" t="s">
        <v>29</v>
      </c>
      <c r="E705" s="30" t="s">
        <v>14</v>
      </c>
      <c r="F705" s="31">
        <v>0</v>
      </c>
      <c r="G705" s="31">
        <v>0</v>
      </c>
      <c r="H705" s="31">
        <v>0</v>
      </c>
      <c r="I705" s="31">
        <v>7</v>
      </c>
      <c r="J705" s="31">
        <f t="shared" si="42"/>
        <v>7</v>
      </c>
      <c r="K705" s="28">
        <v>1148000</v>
      </c>
      <c r="L705" s="29">
        <v>0.45</v>
      </c>
      <c r="M705" s="31">
        <f t="shared" si="43"/>
        <v>516600</v>
      </c>
      <c r="N705" s="28">
        <f t="shared" si="41"/>
        <v>631400</v>
      </c>
      <c r="O705" s="28">
        <v>918400</v>
      </c>
    </row>
    <row r="706" spans="1:15" x14ac:dyDescent="0.35">
      <c r="A706">
        <v>733193004</v>
      </c>
      <c r="B706" t="s">
        <v>200</v>
      </c>
      <c r="C706" t="s">
        <v>92</v>
      </c>
      <c r="D706" t="s">
        <v>29</v>
      </c>
      <c r="E706" s="30" t="s">
        <v>14</v>
      </c>
      <c r="F706" s="31">
        <v>0</v>
      </c>
      <c r="G706" s="31">
        <v>0</v>
      </c>
      <c r="H706" s="31">
        <v>0</v>
      </c>
      <c r="I706" s="31">
        <v>2</v>
      </c>
      <c r="J706" s="31">
        <f t="shared" si="42"/>
        <v>2</v>
      </c>
      <c r="K706" s="28">
        <v>1148000</v>
      </c>
      <c r="L706" s="29">
        <v>0.45</v>
      </c>
      <c r="M706" s="31">
        <f t="shared" si="43"/>
        <v>516600</v>
      </c>
      <c r="N706" s="28">
        <f t="shared" si="41"/>
        <v>631400</v>
      </c>
      <c r="O706" s="28">
        <v>918400</v>
      </c>
    </row>
    <row r="707" spans="1:15" x14ac:dyDescent="0.35">
      <c r="A707">
        <v>733193007</v>
      </c>
      <c r="B707" t="s">
        <v>199</v>
      </c>
      <c r="C707" t="s">
        <v>92</v>
      </c>
      <c r="D707" t="s">
        <v>29</v>
      </c>
      <c r="E707" s="30" t="s">
        <v>14</v>
      </c>
      <c r="F707" s="31">
        <v>0</v>
      </c>
      <c r="G707" s="31">
        <v>0</v>
      </c>
      <c r="H707" s="31">
        <v>0</v>
      </c>
      <c r="I707" s="31">
        <v>1</v>
      </c>
      <c r="J707" s="31">
        <f t="shared" si="42"/>
        <v>1</v>
      </c>
      <c r="K707" s="28">
        <v>1148000</v>
      </c>
      <c r="L707" s="29">
        <v>0.45</v>
      </c>
      <c r="M707" s="31">
        <f t="shared" si="43"/>
        <v>516600</v>
      </c>
      <c r="N707" s="28">
        <f t="shared" ref="N707:N770" si="44">K707*(1-L707)</f>
        <v>631400</v>
      </c>
      <c r="O707" s="28">
        <v>918400</v>
      </c>
    </row>
    <row r="708" spans="1:15" x14ac:dyDescent="0.35">
      <c r="A708">
        <v>735646001</v>
      </c>
      <c r="B708" t="s">
        <v>508</v>
      </c>
      <c r="C708" t="s">
        <v>92</v>
      </c>
      <c r="D708" t="s">
        <v>29</v>
      </c>
      <c r="E708" s="30" t="s">
        <v>14</v>
      </c>
      <c r="F708" s="31">
        <v>0</v>
      </c>
      <c r="G708" s="31">
        <v>0</v>
      </c>
      <c r="H708" s="31">
        <v>0</v>
      </c>
      <c r="I708" s="31">
        <v>11</v>
      </c>
      <c r="J708" s="31">
        <f t="shared" ref="J708:J771" si="45">SUM(F708:I708)</f>
        <v>11</v>
      </c>
      <c r="K708" s="28">
        <v>1448000</v>
      </c>
      <c r="L708" s="29">
        <v>0.45</v>
      </c>
      <c r="M708" s="31">
        <f t="shared" ref="M708:M771" si="46">K708*L708</f>
        <v>651600</v>
      </c>
      <c r="N708" s="28">
        <f t="shared" si="44"/>
        <v>796400.00000000012</v>
      </c>
      <c r="O708" s="28">
        <v>1158400</v>
      </c>
    </row>
    <row r="709" spans="1:15" x14ac:dyDescent="0.35">
      <c r="A709">
        <v>735646002</v>
      </c>
      <c r="B709" t="s">
        <v>509</v>
      </c>
      <c r="C709" t="s">
        <v>92</v>
      </c>
      <c r="D709" t="s">
        <v>29</v>
      </c>
      <c r="E709" s="30" t="s">
        <v>14</v>
      </c>
      <c r="F709" s="31">
        <v>0</v>
      </c>
      <c r="G709" s="31">
        <v>0</v>
      </c>
      <c r="H709" s="31">
        <v>0</v>
      </c>
      <c r="I709" s="31">
        <v>16</v>
      </c>
      <c r="J709" s="31">
        <f t="shared" si="45"/>
        <v>16</v>
      </c>
      <c r="K709" s="28">
        <v>1448000</v>
      </c>
      <c r="L709" s="29">
        <v>0.45</v>
      </c>
      <c r="M709" s="31">
        <f t="shared" si="46"/>
        <v>651600</v>
      </c>
      <c r="N709" s="28">
        <f t="shared" si="44"/>
        <v>796400.00000000012</v>
      </c>
      <c r="O709" s="28">
        <v>1158400</v>
      </c>
    </row>
    <row r="710" spans="1:15" x14ac:dyDescent="0.35">
      <c r="A710">
        <v>735646003</v>
      </c>
      <c r="B710" t="s">
        <v>235</v>
      </c>
      <c r="C710" t="s">
        <v>92</v>
      </c>
      <c r="D710" t="s">
        <v>29</v>
      </c>
      <c r="E710" s="30" t="s">
        <v>14</v>
      </c>
      <c r="F710" s="31">
        <v>0</v>
      </c>
      <c r="G710" s="31">
        <v>0</v>
      </c>
      <c r="H710" s="31">
        <v>0</v>
      </c>
      <c r="I710" s="31">
        <v>1</v>
      </c>
      <c r="J710" s="31">
        <f t="shared" si="45"/>
        <v>1</v>
      </c>
      <c r="K710" s="28">
        <v>1448000</v>
      </c>
      <c r="L710" s="29">
        <v>0.45</v>
      </c>
      <c r="M710" s="31">
        <f t="shared" si="46"/>
        <v>651600</v>
      </c>
      <c r="N710" s="28">
        <f t="shared" si="44"/>
        <v>796400.00000000012</v>
      </c>
      <c r="O710" s="28">
        <v>1158400</v>
      </c>
    </row>
    <row r="711" spans="1:15" x14ac:dyDescent="0.35">
      <c r="A711">
        <v>735646004</v>
      </c>
      <c r="B711" t="s">
        <v>237</v>
      </c>
      <c r="C711" t="s">
        <v>92</v>
      </c>
      <c r="D711" t="s">
        <v>29</v>
      </c>
      <c r="E711" s="30" t="s">
        <v>14</v>
      </c>
      <c r="F711" s="31">
        <v>0</v>
      </c>
      <c r="G711" s="31">
        <v>0</v>
      </c>
      <c r="H711" s="31">
        <v>0</v>
      </c>
      <c r="I711" s="31">
        <v>7</v>
      </c>
      <c r="J711" s="31">
        <f t="shared" si="45"/>
        <v>7</v>
      </c>
      <c r="K711" s="28">
        <v>1448000</v>
      </c>
      <c r="L711" s="29">
        <v>0.45</v>
      </c>
      <c r="M711" s="31">
        <f t="shared" si="46"/>
        <v>651600</v>
      </c>
      <c r="N711" s="28">
        <f t="shared" si="44"/>
        <v>796400.00000000012</v>
      </c>
      <c r="O711" s="28">
        <v>1158400</v>
      </c>
    </row>
    <row r="712" spans="1:15" x14ac:dyDescent="0.35">
      <c r="A712">
        <v>735646005</v>
      </c>
      <c r="B712" t="s">
        <v>238</v>
      </c>
      <c r="C712" t="s">
        <v>92</v>
      </c>
      <c r="D712" t="s">
        <v>29</v>
      </c>
      <c r="E712" s="30" t="s">
        <v>14</v>
      </c>
      <c r="F712" s="31">
        <v>0</v>
      </c>
      <c r="G712" s="31">
        <v>0</v>
      </c>
      <c r="H712" s="31">
        <v>0</v>
      </c>
      <c r="I712" s="31">
        <v>1</v>
      </c>
      <c r="J712" s="31">
        <f t="shared" si="45"/>
        <v>1</v>
      </c>
      <c r="K712" s="28">
        <v>1448000</v>
      </c>
      <c r="L712" s="29">
        <v>0.45</v>
      </c>
      <c r="M712" s="31">
        <f t="shared" si="46"/>
        <v>651600</v>
      </c>
      <c r="N712" s="28">
        <f t="shared" si="44"/>
        <v>796400.00000000012</v>
      </c>
      <c r="O712" s="28">
        <v>1158400</v>
      </c>
    </row>
    <row r="713" spans="1:15" x14ac:dyDescent="0.35">
      <c r="A713">
        <v>735646006</v>
      </c>
      <c r="B713" t="s">
        <v>234</v>
      </c>
      <c r="C713" t="s">
        <v>92</v>
      </c>
      <c r="D713" t="s">
        <v>29</v>
      </c>
      <c r="E713" s="30" t="s">
        <v>14</v>
      </c>
      <c r="F713" s="31">
        <v>0</v>
      </c>
      <c r="G713" s="31">
        <v>0</v>
      </c>
      <c r="H713" s="31">
        <v>0</v>
      </c>
      <c r="I713" s="31">
        <v>6</v>
      </c>
      <c r="J713" s="31">
        <f t="shared" si="45"/>
        <v>6</v>
      </c>
      <c r="K713" s="28">
        <v>1448000</v>
      </c>
      <c r="L713" s="29">
        <v>0.45</v>
      </c>
      <c r="M713" s="31">
        <f t="shared" si="46"/>
        <v>651600</v>
      </c>
      <c r="N713" s="28">
        <f t="shared" si="44"/>
        <v>796400.00000000012</v>
      </c>
      <c r="O713" s="28">
        <v>1158400</v>
      </c>
    </row>
    <row r="714" spans="1:15" x14ac:dyDescent="0.35">
      <c r="A714">
        <v>735646007</v>
      </c>
      <c r="B714" t="s">
        <v>510</v>
      </c>
      <c r="C714" t="s">
        <v>92</v>
      </c>
      <c r="D714" t="s">
        <v>29</v>
      </c>
      <c r="E714" s="30" t="s">
        <v>14</v>
      </c>
      <c r="F714" s="31">
        <v>0</v>
      </c>
      <c r="G714" s="31">
        <v>0</v>
      </c>
      <c r="H714" s="31">
        <v>0</v>
      </c>
      <c r="I714" s="31">
        <v>9</v>
      </c>
      <c r="J714" s="31">
        <f t="shared" si="45"/>
        <v>9</v>
      </c>
      <c r="K714" s="28">
        <v>1448000</v>
      </c>
      <c r="L714" s="29">
        <v>0.45</v>
      </c>
      <c r="M714" s="31">
        <f t="shared" si="46"/>
        <v>651600</v>
      </c>
      <c r="N714" s="28">
        <f t="shared" si="44"/>
        <v>796400.00000000012</v>
      </c>
      <c r="O714" s="28">
        <v>1158400</v>
      </c>
    </row>
    <row r="715" spans="1:15" x14ac:dyDescent="0.35">
      <c r="A715">
        <v>735646008</v>
      </c>
      <c r="B715" t="s">
        <v>231</v>
      </c>
      <c r="C715" t="s">
        <v>92</v>
      </c>
      <c r="D715" t="s">
        <v>29</v>
      </c>
      <c r="E715" s="30" t="s">
        <v>14</v>
      </c>
      <c r="F715" s="31">
        <v>0</v>
      </c>
      <c r="G715" s="31">
        <v>0</v>
      </c>
      <c r="H715" s="31">
        <v>0</v>
      </c>
      <c r="I715" s="31">
        <v>1</v>
      </c>
      <c r="J715" s="31">
        <f t="shared" si="45"/>
        <v>1</v>
      </c>
      <c r="K715" s="28">
        <v>1448000</v>
      </c>
      <c r="L715" s="29">
        <v>0.45</v>
      </c>
      <c r="M715" s="31">
        <f t="shared" si="46"/>
        <v>651600</v>
      </c>
      <c r="N715" s="28">
        <f t="shared" si="44"/>
        <v>796400.00000000012</v>
      </c>
      <c r="O715" s="28">
        <v>1158400</v>
      </c>
    </row>
    <row r="716" spans="1:15" x14ac:dyDescent="0.35">
      <c r="A716">
        <v>735646009</v>
      </c>
      <c r="B716" t="s">
        <v>236</v>
      </c>
      <c r="C716" t="s">
        <v>92</v>
      </c>
      <c r="D716" t="s">
        <v>29</v>
      </c>
      <c r="E716" s="30" t="s">
        <v>14</v>
      </c>
      <c r="F716" s="31">
        <v>0</v>
      </c>
      <c r="G716" s="31">
        <v>0</v>
      </c>
      <c r="H716" s="31">
        <v>0</v>
      </c>
      <c r="I716" s="31">
        <v>9</v>
      </c>
      <c r="J716" s="31">
        <f t="shared" si="45"/>
        <v>9</v>
      </c>
      <c r="K716" s="28">
        <v>1448000</v>
      </c>
      <c r="L716" s="29">
        <v>0.45</v>
      </c>
      <c r="M716" s="31">
        <f t="shared" si="46"/>
        <v>651600</v>
      </c>
      <c r="N716" s="28">
        <f t="shared" si="44"/>
        <v>796400.00000000012</v>
      </c>
      <c r="O716" s="28">
        <v>1158400</v>
      </c>
    </row>
    <row r="717" spans="1:15" x14ac:dyDescent="0.35">
      <c r="A717">
        <v>735646010</v>
      </c>
      <c r="B717" t="s">
        <v>511</v>
      </c>
      <c r="C717" t="s">
        <v>92</v>
      </c>
      <c r="D717" t="s">
        <v>29</v>
      </c>
      <c r="E717" s="30" t="s">
        <v>14</v>
      </c>
      <c r="F717" s="31">
        <v>0</v>
      </c>
      <c r="G717" s="31">
        <v>0</v>
      </c>
      <c r="H717" s="31">
        <v>0</v>
      </c>
      <c r="I717" s="31">
        <v>13</v>
      </c>
      <c r="J717" s="31">
        <f t="shared" si="45"/>
        <v>13</v>
      </c>
      <c r="K717" s="28">
        <v>1448000</v>
      </c>
      <c r="L717" s="29">
        <v>0.45</v>
      </c>
      <c r="M717" s="31">
        <f t="shared" si="46"/>
        <v>651600</v>
      </c>
      <c r="N717" s="28">
        <f t="shared" si="44"/>
        <v>796400.00000000012</v>
      </c>
      <c r="O717" s="28">
        <v>1158400</v>
      </c>
    </row>
    <row r="718" spans="1:15" x14ac:dyDescent="0.35">
      <c r="A718">
        <v>735646011</v>
      </c>
      <c r="B718" t="s">
        <v>232</v>
      </c>
      <c r="C718" t="s">
        <v>92</v>
      </c>
      <c r="D718" t="s">
        <v>29</v>
      </c>
      <c r="E718" s="30" t="s">
        <v>14</v>
      </c>
      <c r="F718" s="31">
        <v>0</v>
      </c>
      <c r="G718" s="31">
        <v>0</v>
      </c>
      <c r="H718" s="31">
        <v>0</v>
      </c>
      <c r="I718" s="31">
        <v>5</v>
      </c>
      <c r="J718" s="31">
        <f t="shared" si="45"/>
        <v>5</v>
      </c>
      <c r="K718" s="28">
        <v>1448000</v>
      </c>
      <c r="L718" s="29">
        <v>0.45</v>
      </c>
      <c r="M718" s="31">
        <f t="shared" si="46"/>
        <v>651600</v>
      </c>
      <c r="N718" s="28">
        <f t="shared" si="44"/>
        <v>796400.00000000012</v>
      </c>
      <c r="O718" s="28">
        <v>1158400</v>
      </c>
    </row>
    <row r="719" spans="1:15" x14ac:dyDescent="0.35">
      <c r="A719">
        <v>735646012</v>
      </c>
      <c r="B719" t="s">
        <v>512</v>
      </c>
      <c r="C719" t="s">
        <v>92</v>
      </c>
      <c r="D719" t="s">
        <v>29</v>
      </c>
      <c r="E719" s="30" t="s">
        <v>14</v>
      </c>
      <c r="F719" s="31">
        <v>0</v>
      </c>
      <c r="G719" s="31">
        <v>0</v>
      </c>
      <c r="H719" s="31">
        <v>0</v>
      </c>
      <c r="I719" s="31">
        <v>13</v>
      </c>
      <c r="J719" s="31">
        <f t="shared" si="45"/>
        <v>13</v>
      </c>
      <c r="K719" s="28">
        <v>1448000</v>
      </c>
      <c r="L719" s="29">
        <v>0.45</v>
      </c>
      <c r="M719" s="31">
        <f t="shared" si="46"/>
        <v>651600</v>
      </c>
      <c r="N719" s="28">
        <f t="shared" si="44"/>
        <v>796400.00000000012</v>
      </c>
      <c r="O719" s="28">
        <v>1158400</v>
      </c>
    </row>
    <row r="720" spans="1:15" x14ac:dyDescent="0.35">
      <c r="A720">
        <v>735646013</v>
      </c>
      <c r="B720" t="s">
        <v>513</v>
      </c>
      <c r="C720" t="s">
        <v>92</v>
      </c>
      <c r="D720" t="s">
        <v>29</v>
      </c>
      <c r="E720" s="30" t="s">
        <v>14</v>
      </c>
      <c r="F720" s="31">
        <v>0</v>
      </c>
      <c r="G720" s="31">
        <v>0</v>
      </c>
      <c r="H720" s="31">
        <v>0</v>
      </c>
      <c r="I720" s="31">
        <v>13</v>
      </c>
      <c r="J720" s="31">
        <f t="shared" si="45"/>
        <v>13</v>
      </c>
      <c r="K720" s="28">
        <v>1448000</v>
      </c>
      <c r="L720" s="29">
        <v>0.45</v>
      </c>
      <c r="M720" s="31">
        <f t="shared" si="46"/>
        <v>651600</v>
      </c>
      <c r="N720" s="28">
        <f t="shared" si="44"/>
        <v>796400.00000000012</v>
      </c>
      <c r="O720" s="28">
        <v>1158400</v>
      </c>
    </row>
    <row r="721" spans="1:15" x14ac:dyDescent="0.35">
      <c r="A721">
        <v>735646014</v>
      </c>
      <c r="B721" t="s">
        <v>233</v>
      </c>
      <c r="C721" t="s">
        <v>92</v>
      </c>
      <c r="D721" t="s">
        <v>29</v>
      </c>
      <c r="E721" s="30" t="s">
        <v>14</v>
      </c>
      <c r="F721" s="31">
        <v>0</v>
      </c>
      <c r="G721" s="31">
        <v>0</v>
      </c>
      <c r="H721" s="31">
        <v>0</v>
      </c>
      <c r="I721" s="31">
        <v>7</v>
      </c>
      <c r="J721" s="31">
        <f t="shared" si="45"/>
        <v>7</v>
      </c>
      <c r="K721" s="28">
        <v>1448000</v>
      </c>
      <c r="L721" s="29">
        <v>0.45</v>
      </c>
      <c r="M721" s="31">
        <f t="shared" si="46"/>
        <v>651600</v>
      </c>
      <c r="N721" s="28">
        <f t="shared" si="44"/>
        <v>796400.00000000012</v>
      </c>
      <c r="O721" s="28">
        <v>1158400</v>
      </c>
    </row>
    <row r="722" spans="1:15" x14ac:dyDescent="0.35">
      <c r="A722">
        <v>735647001</v>
      </c>
      <c r="B722" t="s">
        <v>514</v>
      </c>
      <c r="C722" t="s">
        <v>92</v>
      </c>
      <c r="D722" t="s">
        <v>29</v>
      </c>
      <c r="E722" s="30" t="s">
        <v>14</v>
      </c>
      <c r="F722" s="31">
        <v>0</v>
      </c>
      <c r="G722" s="31">
        <v>0</v>
      </c>
      <c r="H722" s="31">
        <v>0</v>
      </c>
      <c r="I722" s="31">
        <v>9</v>
      </c>
      <c r="J722" s="31">
        <f t="shared" si="45"/>
        <v>9</v>
      </c>
      <c r="K722" s="28">
        <v>1498000</v>
      </c>
      <c r="L722" s="29">
        <v>0.45</v>
      </c>
      <c r="M722" s="31">
        <f t="shared" si="46"/>
        <v>674100</v>
      </c>
      <c r="N722" s="28">
        <f t="shared" si="44"/>
        <v>823900.00000000012</v>
      </c>
      <c r="O722" s="28">
        <v>1198400</v>
      </c>
    </row>
    <row r="723" spans="1:15" x14ac:dyDescent="0.35">
      <c r="A723">
        <v>735647003</v>
      </c>
      <c r="B723" t="s">
        <v>515</v>
      </c>
      <c r="C723" t="s">
        <v>92</v>
      </c>
      <c r="D723" t="s">
        <v>29</v>
      </c>
      <c r="E723" s="30" t="s">
        <v>14</v>
      </c>
      <c r="F723" s="31">
        <v>0</v>
      </c>
      <c r="G723" s="31">
        <v>0</v>
      </c>
      <c r="H723" s="31">
        <v>0</v>
      </c>
      <c r="I723" s="31">
        <v>18</v>
      </c>
      <c r="J723" s="31">
        <f t="shared" si="45"/>
        <v>18</v>
      </c>
      <c r="K723" s="28">
        <v>1498000</v>
      </c>
      <c r="L723" s="29">
        <v>0.45</v>
      </c>
      <c r="M723" s="31">
        <f t="shared" si="46"/>
        <v>674100</v>
      </c>
      <c r="N723" s="28">
        <f t="shared" si="44"/>
        <v>823900.00000000012</v>
      </c>
      <c r="O723" s="28">
        <v>1198400</v>
      </c>
    </row>
    <row r="724" spans="1:15" x14ac:dyDescent="0.35">
      <c r="A724">
        <v>735647004</v>
      </c>
      <c r="B724" t="s">
        <v>516</v>
      </c>
      <c r="C724" t="s">
        <v>92</v>
      </c>
      <c r="D724" t="s">
        <v>29</v>
      </c>
      <c r="E724" s="30" t="s">
        <v>14</v>
      </c>
      <c r="F724" s="31">
        <v>0</v>
      </c>
      <c r="G724" s="31">
        <v>0</v>
      </c>
      <c r="H724" s="31">
        <v>0</v>
      </c>
      <c r="I724" s="31">
        <v>1</v>
      </c>
      <c r="J724" s="31">
        <f t="shared" si="45"/>
        <v>1</v>
      </c>
      <c r="K724" s="28">
        <v>1498000</v>
      </c>
      <c r="L724" s="29">
        <v>0.45</v>
      </c>
      <c r="M724" s="31">
        <f t="shared" si="46"/>
        <v>674100</v>
      </c>
      <c r="N724" s="28">
        <f t="shared" si="44"/>
        <v>823900.00000000012</v>
      </c>
      <c r="O724" s="28">
        <v>1198400</v>
      </c>
    </row>
    <row r="725" spans="1:15" x14ac:dyDescent="0.35">
      <c r="A725">
        <v>735647005</v>
      </c>
      <c r="B725" t="s">
        <v>517</v>
      </c>
      <c r="C725" t="s">
        <v>92</v>
      </c>
      <c r="D725" t="s">
        <v>29</v>
      </c>
      <c r="E725" s="30" t="s">
        <v>14</v>
      </c>
      <c r="F725" s="31">
        <v>0</v>
      </c>
      <c r="G725" s="31">
        <v>0</v>
      </c>
      <c r="H725" s="31">
        <v>0</v>
      </c>
      <c r="I725" s="31">
        <v>8</v>
      </c>
      <c r="J725" s="31">
        <f t="shared" si="45"/>
        <v>8</v>
      </c>
      <c r="K725" s="28">
        <v>1498000</v>
      </c>
      <c r="L725" s="29">
        <v>0.45</v>
      </c>
      <c r="M725" s="31">
        <f t="shared" si="46"/>
        <v>674100</v>
      </c>
      <c r="N725" s="28">
        <f t="shared" si="44"/>
        <v>823900.00000000012</v>
      </c>
      <c r="O725" s="28">
        <v>1198400</v>
      </c>
    </row>
    <row r="726" spans="1:15" x14ac:dyDescent="0.35">
      <c r="A726">
        <v>735647007</v>
      </c>
      <c r="B726" t="s">
        <v>518</v>
      </c>
      <c r="C726" t="s">
        <v>92</v>
      </c>
      <c r="D726" t="s">
        <v>29</v>
      </c>
      <c r="E726" s="30" t="s">
        <v>14</v>
      </c>
      <c r="F726" s="31">
        <v>0</v>
      </c>
      <c r="G726" s="31">
        <v>0</v>
      </c>
      <c r="H726" s="31">
        <v>0</v>
      </c>
      <c r="I726" s="31">
        <v>22</v>
      </c>
      <c r="J726" s="31">
        <f t="shared" si="45"/>
        <v>22</v>
      </c>
      <c r="K726" s="28">
        <v>1498000</v>
      </c>
      <c r="L726" s="29">
        <v>0.45</v>
      </c>
      <c r="M726" s="31">
        <f t="shared" si="46"/>
        <v>674100</v>
      </c>
      <c r="N726" s="28">
        <f t="shared" si="44"/>
        <v>823900.00000000012</v>
      </c>
      <c r="O726" s="28">
        <v>1198400</v>
      </c>
    </row>
    <row r="727" spans="1:15" x14ac:dyDescent="0.35">
      <c r="A727">
        <v>735647008</v>
      </c>
      <c r="B727" t="s">
        <v>519</v>
      </c>
      <c r="C727" t="s">
        <v>92</v>
      </c>
      <c r="D727" t="s">
        <v>29</v>
      </c>
      <c r="E727" s="30" t="s">
        <v>14</v>
      </c>
      <c r="F727" s="31">
        <v>0</v>
      </c>
      <c r="G727" s="31">
        <v>0</v>
      </c>
      <c r="H727" s="31">
        <v>0</v>
      </c>
      <c r="I727" s="31">
        <v>16</v>
      </c>
      <c r="J727" s="31">
        <f t="shared" si="45"/>
        <v>16</v>
      </c>
      <c r="K727" s="28">
        <v>1498000</v>
      </c>
      <c r="L727" s="29">
        <v>0.45</v>
      </c>
      <c r="M727" s="31">
        <f t="shared" si="46"/>
        <v>674100</v>
      </c>
      <c r="N727" s="28">
        <f t="shared" si="44"/>
        <v>823900.00000000012</v>
      </c>
      <c r="O727" s="28">
        <v>1198400</v>
      </c>
    </row>
    <row r="728" spans="1:15" x14ac:dyDescent="0.35">
      <c r="A728">
        <v>735647009</v>
      </c>
      <c r="B728" t="s">
        <v>520</v>
      </c>
      <c r="C728" t="s">
        <v>92</v>
      </c>
      <c r="D728" t="s">
        <v>29</v>
      </c>
      <c r="E728" s="30" t="s">
        <v>14</v>
      </c>
      <c r="F728" s="31">
        <v>0</v>
      </c>
      <c r="G728" s="31">
        <v>0</v>
      </c>
      <c r="H728" s="31">
        <v>0</v>
      </c>
      <c r="I728" s="31">
        <v>7</v>
      </c>
      <c r="J728" s="31">
        <f t="shared" si="45"/>
        <v>7</v>
      </c>
      <c r="K728" s="28">
        <v>1498000</v>
      </c>
      <c r="L728" s="29">
        <v>0.45</v>
      </c>
      <c r="M728" s="31">
        <f t="shared" si="46"/>
        <v>674100</v>
      </c>
      <c r="N728" s="28">
        <f t="shared" si="44"/>
        <v>823900.00000000012</v>
      </c>
      <c r="O728" s="28">
        <v>1198400</v>
      </c>
    </row>
    <row r="729" spans="1:15" x14ac:dyDescent="0.35">
      <c r="A729">
        <v>735647010</v>
      </c>
      <c r="B729" t="s">
        <v>202</v>
      </c>
      <c r="C729" t="s">
        <v>92</v>
      </c>
      <c r="D729" t="s">
        <v>29</v>
      </c>
      <c r="E729" s="30" t="s">
        <v>14</v>
      </c>
      <c r="F729" s="31">
        <v>0</v>
      </c>
      <c r="G729" s="31">
        <v>0</v>
      </c>
      <c r="H729" s="31">
        <v>0</v>
      </c>
      <c r="I729" s="31">
        <v>1</v>
      </c>
      <c r="J729" s="31">
        <f t="shared" si="45"/>
        <v>1</v>
      </c>
      <c r="K729" s="28">
        <v>1498000</v>
      </c>
      <c r="L729" s="29">
        <v>0.45</v>
      </c>
      <c r="M729" s="31">
        <f t="shared" si="46"/>
        <v>674100</v>
      </c>
      <c r="N729" s="28">
        <f t="shared" si="44"/>
        <v>823900.00000000012</v>
      </c>
      <c r="O729" s="28">
        <v>1198400</v>
      </c>
    </row>
    <row r="730" spans="1:15" x14ac:dyDescent="0.35">
      <c r="A730">
        <v>735647011</v>
      </c>
      <c r="B730" t="s">
        <v>521</v>
      </c>
      <c r="C730" t="s">
        <v>92</v>
      </c>
      <c r="D730" t="s">
        <v>29</v>
      </c>
      <c r="E730" s="30" t="s">
        <v>14</v>
      </c>
      <c r="F730" s="31">
        <v>0</v>
      </c>
      <c r="G730" s="31">
        <v>0</v>
      </c>
      <c r="H730" s="31">
        <v>0</v>
      </c>
      <c r="I730" s="31">
        <v>7</v>
      </c>
      <c r="J730" s="31">
        <f t="shared" si="45"/>
        <v>7</v>
      </c>
      <c r="K730" s="28">
        <v>1498000</v>
      </c>
      <c r="L730" s="29">
        <v>0.45</v>
      </c>
      <c r="M730" s="31">
        <f t="shared" si="46"/>
        <v>674100</v>
      </c>
      <c r="N730" s="28">
        <f t="shared" si="44"/>
        <v>823900.00000000012</v>
      </c>
      <c r="O730" s="28">
        <v>1198400</v>
      </c>
    </row>
    <row r="731" spans="1:15" x14ac:dyDescent="0.35">
      <c r="A731">
        <v>735647012</v>
      </c>
      <c r="B731" t="s">
        <v>1922</v>
      </c>
      <c r="C731" t="s">
        <v>92</v>
      </c>
      <c r="D731" t="s">
        <v>29</v>
      </c>
      <c r="E731" s="30" t="s">
        <v>14</v>
      </c>
      <c r="F731" s="31">
        <v>0</v>
      </c>
      <c r="G731" s="31">
        <v>0</v>
      </c>
      <c r="H731" s="31">
        <v>0</v>
      </c>
      <c r="I731" s="31">
        <v>1</v>
      </c>
      <c r="J731" s="31">
        <f t="shared" si="45"/>
        <v>1</v>
      </c>
      <c r="K731" s="28">
        <v>1498000</v>
      </c>
      <c r="L731" s="29">
        <v>0.45</v>
      </c>
      <c r="M731" s="31">
        <f t="shared" si="46"/>
        <v>674100</v>
      </c>
      <c r="N731" s="28">
        <f t="shared" si="44"/>
        <v>823900.00000000012</v>
      </c>
      <c r="O731" s="28">
        <v>1198400</v>
      </c>
    </row>
    <row r="732" spans="1:15" x14ac:dyDescent="0.35">
      <c r="A732">
        <v>735647013</v>
      </c>
      <c r="B732" t="s">
        <v>522</v>
      </c>
      <c r="C732" t="s">
        <v>92</v>
      </c>
      <c r="D732" t="s">
        <v>29</v>
      </c>
      <c r="E732" s="30" t="s">
        <v>14</v>
      </c>
      <c r="F732" s="31">
        <v>0</v>
      </c>
      <c r="G732" s="31">
        <v>0</v>
      </c>
      <c r="H732" s="31">
        <v>0</v>
      </c>
      <c r="I732" s="31">
        <v>5</v>
      </c>
      <c r="J732" s="31">
        <f t="shared" si="45"/>
        <v>5</v>
      </c>
      <c r="K732" s="28">
        <v>1498000</v>
      </c>
      <c r="L732" s="29">
        <v>0.45</v>
      </c>
      <c r="M732" s="31">
        <f t="shared" si="46"/>
        <v>674100</v>
      </c>
      <c r="N732" s="28">
        <f t="shared" si="44"/>
        <v>823900.00000000012</v>
      </c>
      <c r="O732" s="28">
        <v>1198400</v>
      </c>
    </row>
    <row r="733" spans="1:15" x14ac:dyDescent="0.35">
      <c r="A733">
        <v>735647015</v>
      </c>
      <c r="B733" t="s">
        <v>523</v>
      </c>
      <c r="C733" t="s">
        <v>92</v>
      </c>
      <c r="D733" t="s">
        <v>29</v>
      </c>
      <c r="E733" s="30" t="s">
        <v>14</v>
      </c>
      <c r="F733" s="31">
        <v>0</v>
      </c>
      <c r="G733" s="31">
        <v>0</v>
      </c>
      <c r="H733" s="31">
        <v>0</v>
      </c>
      <c r="I733" s="31">
        <v>21</v>
      </c>
      <c r="J733" s="31">
        <f t="shared" si="45"/>
        <v>21</v>
      </c>
      <c r="K733" s="28">
        <v>1498000</v>
      </c>
      <c r="L733" s="29">
        <v>0.45</v>
      </c>
      <c r="M733" s="31">
        <f t="shared" si="46"/>
        <v>674100</v>
      </c>
      <c r="N733" s="28">
        <f t="shared" si="44"/>
        <v>823900.00000000012</v>
      </c>
      <c r="O733" s="28">
        <v>1198400</v>
      </c>
    </row>
    <row r="734" spans="1:15" x14ac:dyDescent="0.35">
      <c r="A734">
        <v>735647016</v>
      </c>
      <c r="B734" t="s">
        <v>524</v>
      </c>
      <c r="C734" t="s">
        <v>92</v>
      </c>
      <c r="D734" t="s">
        <v>29</v>
      </c>
      <c r="E734" s="30" t="s">
        <v>14</v>
      </c>
      <c r="F734" s="31">
        <v>0</v>
      </c>
      <c r="G734" s="31">
        <v>0</v>
      </c>
      <c r="H734" s="31">
        <v>0</v>
      </c>
      <c r="I734" s="31">
        <v>23</v>
      </c>
      <c r="J734" s="31">
        <f t="shared" si="45"/>
        <v>23</v>
      </c>
      <c r="K734" s="28">
        <v>1498000</v>
      </c>
      <c r="L734" s="29">
        <v>0.45</v>
      </c>
      <c r="M734" s="31">
        <f t="shared" si="46"/>
        <v>674100</v>
      </c>
      <c r="N734" s="28">
        <f t="shared" si="44"/>
        <v>823900.00000000012</v>
      </c>
      <c r="O734" s="28">
        <v>1198400</v>
      </c>
    </row>
    <row r="735" spans="1:15" x14ac:dyDescent="0.35">
      <c r="A735">
        <v>735648001</v>
      </c>
      <c r="B735" t="s">
        <v>211</v>
      </c>
      <c r="C735" t="s">
        <v>92</v>
      </c>
      <c r="D735" t="s">
        <v>29</v>
      </c>
      <c r="E735" s="30" t="s">
        <v>14</v>
      </c>
      <c r="F735" s="31">
        <v>0</v>
      </c>
      <c r="G735" s="31">
        <v>0</v>
      </c>
      <c r="H735" s="31">
        <v>0</v>
      </c>
      <c r="I735" s="31">
        <v>1</v>
      </c>
      <c r="J735" s="31">
        <f t="shared" si="45"/>
        <v>1</v>
      </c>
      <c r="K735" s="28">
        <v>1298000</v>
      </c>
      <c r="L735" s="29">
        <v>0.45</v>
      </c>
      <c r="M735" s="31">
        <f t="shared" si="46"/>
        <v>584100</v>
      </c>
      <c r="N735" s="28">
        <f t="shared" si="44"/>
        <v>713900</v>
      </c>
      <c r="O735" s="28">
        <v>1038400</v>
      </c>
    </row>
    <row r="736" spans="1:15" x14ac:dyDescent="0.35">
      <c r="A736">
        <v>735648004</v>
      </c>
      <c r="B736" t="s">
        <v>210</v>
      </c>
      <c r="C736" t="s">
        <v>92</v>
      </c>
      <c r="D736" t="s">
        <v>29</v>
      </c>
      <c r="E736" s="30" t="s">
        <v>14</v>
      </c>
      <c r="F736" s="31">
        <v>0</v>
      </c>
      <c r="G736" s="31">
        <v>0</v>
      </c>
      <c r="H736" s="31">
        <v>0</v>
      </c>
      <c r="I736" s="31">
        <v>1</v>
      </c>
      <c r="J736" s="31">
        <f t="shared" si="45"/>
        <v>1</v>
      </c>
      <c r="K736" s="28">
        <v>1298000</v>
      </c>
      <c r="L736" s="29">
        <v>0.45</v>
      </c>
      <c r="M736" s="31">
        <f t="shared" si="46"/>
        <v>584100</v>
      </c>
      <c r="N736" s="28">
        <f t="shared" si="44"/>
        <v>713900</v>
      </c>
      <c r="O736" s="28">
        <v>1038400</v>
      </c>
    </row>
    <row r="737" spans="1:15" x14ac:dyDescent="0.35">
      <c r="A737">
        <v>735649007</v>
      </c>
      <c r="B737" t="s">
        <v>243</v>
      </c>
      <c r="C737" t="s">
        <v>92</v>
      </c>
      <c r="D737" t="s">
        <v>29</v>
      </c>
      <c r="E737" s="30" t="s">
        <v>14</v>
      </c>
      <c r="F737" s="31">
        <v>0</v>
      </c>
      <c r="G737" s="31">
        <v>0</v>
      </c>
      <c r="H737" s="31">
        <v>0</v>
      </c>
      <c r="I737" s="31">
        <v>8</v>
      </c>
      <c r="J737" s="31">
        <f t="shared" si="45"/>
        <v>8</v>
      </c>
      <c r="K737" s="28">
        <v>1198000</v>
      </c>
      <c r="L737" s="29">
        <v>0.45</v>
      </c>
      <c r="M737" s="31">
        <f t="shared" si="46"/>
        <v>539100</v>
      </c>
      <c r="N737" s="28">
        <f t="shared" si="44"/>
        <v>658900</v>
      </c>
      <c r="O737" s="28">
        <v>958400</v>
      </c>
    </row>
    <row r="738" spans="1:15" x14ac:dyDescent="0.35">
      <c r="A738">
        <v>735649008</v>
      </c>
      <c r="B738" t="s">
        <v>240</v>
      </c>
      <c r="C738" t="s">
        <v>92</v>
      </c>
      <c r="D738" t="s">
        <v>29</v>
      </c>
      <c r="E738" s="30" t="s">
        <v>14</v>
      </c>
      <c r="F738" s="31">
        <v>0</v>
      </c>
      <c r="G738" s="31">
        <v>0</v>
      </c>
      <c r="H738" s="31">
        <v>0</v>
      </c>
      <c r="I738" s="31">
        <v>4</v>
      </c>
      <c r="J738" s="31">
        <f t="shared" si="45"/>
        <v>4</v>
      </c>
      <c r="K738" s="28">
        <v>1198000</v>
      </c>
      <c r="L738" s="29">
        <v>0.45</v>
      </c>
      <c r="M738" s="31">
        <f t="shared" si="46"/>
        <v>539100</v>
      </c>
      <c r="N738" s="28">
        <f t="shared" si="44"/>
        <v>658900</v>
      </c>
      <c r="O738" s="28">
        <v>958400</v>
      </c>
    </row>
    <row r="739" spans="1:15" x14ac:dyDescent="0.35">
      <c r="A739">
        <v>735649010</v>
      </c>
      <c r="B739" t="s">
        <v>242</v>
      </c>
      <c r="C739" t="s">
        <v>92</v>
      </c>
      <c r="D739" t="s">
        <v>29</v>
      </c>
      <c r="E739" s="30" t="s">
        <v>14</v>
      </c>
      <c r="F739" s="31">
        <v>0</v>
      </c>
      <c r="G739" s="31">
        <v>0</v>
      </c>
      <c r="H739" s="31">
        <v>0</v>
      </c>
      <c r="I739" s="31">
        <v>2</v>
      </c>
      <c r="J739" s="31">
        <f t="shared" si="45"/>
        <v>2</v>
      </c>
      <c r="K739" s="28">
        <v>1198000</v>
      </c>
      <c r="L739" s="29">
        <v>0.45</v>
      </c>
      <c r="M739" s="31">
        <f t="shared" si="46"/>
        <v>539100</v>
      </c>
      <c r="N739" s="28">
        <f t="shared" si="44"/>
        <v>658900</v>
      </c>
      <c r="O739" s="28">
        <v>958400</v>
      </c>
    </row>
    <row r="740" spans="1:15" x14ac:dyDescent="0.35">
      <c r="A740">
        <v>735649012</v>
      </c>
      <c r="B740" t="s">
        <v>239</v>
      </c>
      <c r="C740" t="s">
        <v>92</v>
      </c>
      <c r="D740" t="s">
        <v>29</v>
      </c>
      <c r="E740" s="30" t="s">
        <v>14</v>
      </c>
      <c r="F740" s="31">
        <v>0</v>
      </c>
      <c r="G740" s="31">
        <v>0</v>
      </c>
      <c r="H740" s="31">
        <v>0</v>
      </c>
      <c r="I740" s="31">
        <v>2</v>
      </c>
      <c r="J740" s="31">
        <f t="shared" si="45"/>
        <v>2</v>
      </c>
      <c r="K740" s="28">
        <v>1198000</v>
      </c>
      <c r="L740" s="29">
        <v>0.45</v>
      </c>
      <c r="M740" s="31">
        <f t="shared" si="46"/>
        <v>539100</v>
      </c>
      <c r="N740" s="28">
        <f t="shared" si="44"/>
        <v>658900</v>
      </c>
      <c r="O740" s="28">
        <v>958400</v>
      </c>
    </row>
    <row r="741" spans="1:15" x14ac:dyDescent="0.35">
      <c r="A741">
        <v>735649014</v>
      </c>
      <c r="B741" t="s">
        <v>241</v>
      </c>
      <c r="C741" t="s">
        <v>92</v>
      </c>
      <c r="D741" t="s">
        <v>29</v>
      </c>
      <c r="E741" s="30" t="s">
        <v>14</v>
      </c>
      <c r="F741" s="31">
        <v>0</v>
      </c>
      <c r="G741" s="31">
        <v>0</v>
      </c>
      <c r="H741" s="31">
        <v>0</v>
      </c>
      <c r="I741" s="31">
        <v>1</v>
      </c>
      <c r="J741" s="31">
        <f t="shared" si="45"/>
        <v>1</v>
      </c>
      <c r="K741" s="28">
        <v>1198000</v>
      </c>
      <c r="L741" s="29">
        <v>0.45</v>
      </c>
      <c r="M741" s="31">
        <f t="shared" si="46"/>
        <v>539100</v>
      </c>
      <c r="N741" s="28">
        <f t="shared" si="44"/>
        <v>658900</v>
      </c>
      <c r="O741" s="28">
        <v>958400</v>
      </c>
    </row>
    <row r="742" spans="1:15" x14ac:dyDescent="0.35">
      <c r="A742">
        <v>735656005</v>
      </c>
      <c r="B742" t="s">
        <v>209</v>
      </c>
      <c r="C742" t="s">
        <v>92</v>
      </c>
      <c r="D742" t="s">
        <v>29</v>
      </c>
      <c r="E742" s="30" t="s">
        <v>14</v>
      </c>
      <c r="F742" s="31">
        <v>0</v>
      </c>
      <c r="G742" s="31">
        <v>0</v>
      </c>
      <c r="H742" s="31">
        <v>0</v>
      </c>
      <c r="I742" s="31">
        <v>1</v>
      </c>
      <c r="J742" s="31">
        <f t="shared" si="45"/>
        <v>1</v>
      </c>
      <c r="K742" s="28">
        <v>2848000</v>
      </c>
      <c r="L742" s="29">
        <v>0.45</v>
      </c>
      <c r="M742" s="31">
        <f t="shared" si="46"/>
        <v>1281600</v>
      </c>
      <c r="N742" s="28">
        <f t="shared" si="44"/>
        <v>1566400.0000000002</v>
      </c>
      <c r="O742" s="28">
        <v>2278400</v>
      </c>
    </row>
    <row r="743" spans="1:15" x14ac:dyDescent="0.35">
      <c r="A743">
        <v>735657002</v>
      </c>
      <c r="B743" t="s">
        <v>525</v>
      </c>
      <c r="C743" t="s">
        <v>92</v>
      </c>
      <c r="D743" t="s">
        <v>29</v>
      </c>
      <c r="E743" s="30" t="s">
        <v>14</v>
      </c>
      <c r="F743" s="31">
        <v>0</v>
      </c>
      <c r="G743" s="31">
        <v>0</v>
      </c>
      <c r="H743" s="31">
        <v>0</v>
      </c>
      <c r="I743" s="31">
        <v>9</v>
      </c>
      <c r="J743" s="31">
        <f t="shared" si="45"/>
        <v>9</v>
      </c>
      <c r="K743" s="28">
        <v>2798000</v>
      </c>
      <c r="L743" s="29">
        <v>0.45</v>
      </c>
      <c r="M743" s="31">
        <f t="shared" si="46"/>
        <v>1259100</v>
      </c>
      <c r="N743" s="28">
        <f t="shared" si="44"/>
        <v>1538900.0000000002</v>
      </c>
      <c r="O743" s="28">
        <v>2238400</v>
      </c>
    </row>
    <row r="744" spans="1:15" x14ac:dyDescent="0.35">
      <c r="A744">
        <v>735657003</v>
      </c>
      <c r="B744" t="s">
        <v>227</v>
      </c>
      <c r="C744" t="s">
        <v>92</v>
      </c>
      <c r="D744" t="s">
        <v>29</v>
      </c>
      <c r="E744" s="30" t="s">
        <v>14</v>
      </c>
      <c r="F744" s="31">
        <v>0</v>
      </c>
      <c r="G744" s="31">
        <v>0</v>
      </c>
      <c r="H744" s="31">
        <v>0</v>
      </c>
      <c r="I744" s="31">
        <v>4</v>
      </c>
      <c r="J744" s="31">
        <f t="shared" si="45"/>
        <v>4</v>
      </c>
      <c r="K744" s="28">
        <v>2798000</v>
      </c>
      <c r="L744" s="29">
        <v>0.45</v>
      </c>
      <c r="M744" s="31">
        <f t="shared" si="46"/>
        <v>1259100</v>
      </c>
      <c r="N744" s="28">
        <f t="shared" si="44"/>
        <v>1538900.0000000002</v>
      </c>
      <c r="O744" s="28">
        <v>2238400</v>
      </c>
    </row>
    <row r="745" spans="1:15" x14ac:dyDescent="0.35">
      <c r="A745">
        <v>735657004</v>
      </c>
      <c r="B745" t="s">
        <v>526</v>
      </c>
      <c r="C745" t="s">
        <v>92</v>
      </c>
      <c r="D745" t="s">
        <v>29</v>
      </c>
      <c r="E745" s="30" t="s">
        <v>14</v>
      </c>
      <c r="F745" s="31">
        <v>0</v>
      </c>
      <c r="G745" s="31">
        <v>0</v>
      </c>
      <c r="H745" s="31">
        <v>0</v>
      </c>
      <c r="I745" s="31">
        <v>14</v>
      </c>
      <c r="J745" s="31">
        <f t="shared" si="45"/>
        <v>14</v>
      </c>
      <c r="K745" s="28">
        <v>2798000</v>
      </c>
      <c r="L745" s="29">
        <v>0.45</v>
      </c>
      <c r="M745" s="31">
        <f t="shared" si="46"/>
        <v>1259100</v>
      </c>
      <c r="N745" s="28">
        <f t="shared" si="44"/>
        <v>1538900.0000000002</v>
      </c>
      <c r="O745" s="28">
        <v>2238400</v>
      </c>
    </row>
    <row r="746" spans="1:15" x14ac:dyDescent="0.35">
      <c r="A746">
        <v>735657005</v>
      </c>
      <c r="B746" t="s">
        <v>527</v>
      </c>
      <c r="C746" t="s">
        <v>92</v>
      </c>
      <c r="D746" t="s">
        <v>29</v>
      </c>
      <c r="E746" s="30" t="s">
        <v>14</v>
      </c>
      <c r="F746" s="31">
        <v>0</v>
      </c>
      <c r="G746" s="31">
        <v>0</v>
      </c>
      <c r="H746" s="31">
        <v>0</v>
      </c>
      <c r="I746" s="31">
        <v>10</v>
      </c>
      <c r="J746" s="31">
        <f t="shared" si="45"/>
        <v>10</v>
      </c>
      <c r="K746" s="28">
        <v>2798000</v>
      </c>
      <c r="L746" s="29">
        <v>0.45</v>
      </c>
      <c r="M746" s="31">
        <f t="shared" si="46"/>
        <v>1259100</v>
      </c>
      <c r="N746" s="28">
        <f t="shared" si="44"/>
        <v>1538900.0000000002</v>
      </c>
      <c r="O746" s="28">
        <v>2238400</v>
      </c>
    </row>
    <row r="747" spans="1:15" x14ac:dyDescent="0.35">
      <c r="A747">
        <v>735657006</v>
      </c>
      <c r="B747" t="s">
        <v>1041</v>
      </c>
      <c r="C747" t="s">
        <v>92</v>
      </c>
      <c r="D747" t="s">
        <v>29</v>
      </c>
      <c r="E747" s="30" t="s">
        <v>14</v>
      </c>
      <c r="F747" s="31">
        <v>0</v>
      </c>
      <c r="G747" s="31">
        <v>0</v>
      </c>
      <c r="H747" s="31">
        <v>0</v>
      </c>
      <c r="I747" s="31">
        <v>1</v>
      </c>
      <c r="J747" s="31">
        <f t="shared" si="45"/>
        <v>1</v>
      </c>
      <c r="K747" s="28">
        <v>2798000</v>
      </c>
      <c r="L747" s="29">
        <v>0.45</v>
      </c>
      <c r="M747" s="31">
        <f t="shared" si="46"/>
        <v>1259100</v>
      </c>
      <c r="N747" s="28">
        <f t="shared" si="44"/>
        <v>1538900.0000000002</v>
      </c>
      <c r="O747" s="28">
        <v>2238400</v>
      </c>
    </row>
    <row r="748" spans="1:15" x14ac:dyDescent="0.35">
      <c r="A748">
        <v>735657007</v>
      </c>
      <c r="B748" t="s">
        <v>225</v>
      </c>
      <c r="C748" t="s">
        <v>92</v>
      </c>
      <c r="D748" t="s">
        <v>29</v>
      </c>
      <c r="E748" s="30" t="s">
        <v>14</v>
      </c>
      <c r="F748" s="31">
        <v>0</v>
      </c>
      <c r="G748" s="31">
        <v>0</v>
      </c>
      <c r="H748" s="31">
        <v>0</v>
      </c>
      <c r="I748" s="31">
        <v>1</v>
      </c>
      <c r="J748" s="31">
        <f t="shared" si="45"/>
        <v>1</v>
      </c>
      <c r="K748" s="28">
        <v>2798000</v>
      </c>
      <c r="L748" s="29">
        <v>0.45</v>
      </c>
      <c r="M748" s="31">
        <f t="shared" si="46"/>
        <v>1259100</v>
      </c>
      <c r="N748" s="28">
        <f t="shared" si="44"/>
        <v>1538900.0000000002</v>
      </c>
      <c r="O748" s="28">
        <v>2238400</v>
      </c>
    </row>
    <row r="749" spans="1:15" x14ac:dyDescent="0.35">
      <c r="A749">
        <v>735657008</v>
      </c>
      <c r="B749" t="s">
        <v>228</v>
      </c>
      <c r="C749" t="s">
        <v>92</v>
      </c>
      <c r="D749" t="s">
        <v>29</v>
      </c>
      <c r="E749" s="30" t="s">
        <v>14</v>
      </c>
      <c r="F749" s="31">
        <v>0</v>
      </c>
      <c r="G749" s="31">
        <v>0</v>
      </c>
      <c r="H749" s="31">
        <v>0</v>
      </c>
      <c r="I749" s="31">
        <v>6</v>
      </c>
      <c r="J749" s="31">
        <f t="shared" si="45"/>
        <v>6</v>
      </c>
      <c r="K749" s="28">
        <v>2798000</v>
      </c>
      <c r="L749" s="29">
        <v>0.45</v>
      </c>
      <c r="M749" s="31">
        <f t="shared" si="46"/>
        <v>1259100</v>
      </c>
      <c r="N749" s="28">
        <f t="shared" si="44"/>
        <v>1538900.0000000002</v>
      </c>
      <c r="O749" s="28">
        <v>2238400</v>
      </c>
    </row>
    <row r="750" spans="1:15" x14ac:dyDescent="0.35">
      <c r="A750">
        <v>735657009</v>
      </c>
      <c r="B750" t="s">
        <v>528</v>
      </c>
      <c r="C750" t="s">
        <v>92</v>
      </c>
      <c r="D750" t="s">
        <v>29</v>
      </c>
      <c r="E750" s="30" t="s">
        <v>14</v>
      </c>
      <c r="F750" s="31">
        <v>0</v>
      </c>
      <c r="G750" s="31">
        <v>0</v>
      </c>
      <c r="H750" s="31">
        <v>0</v>
      </c>
      <c r="I750" s="31">
        <v>16</v>
      </c>
      <c r="J750" s="31">
        <f t="shared" si="45"/>
        <v>16</v>
      </c>
      <c r="K750" s="28">
        <v>2798000</v>
      </c>
      <c r="L750" s="29">
        <v>0.45</v>
      </c>
      <c r="M750" s="31">
        <f t="shared" si="46"/>
        <v>1259100</v>
      </c>
      <c r="N750" s="28">
        <f t="shared" si="44"/>
        <v>1538900.0000000002</v>
      </c>
      <c r="O750" s="28">
        <v>2238400</v>
      </c>
    </row>
    <row r="751" spans="1:15" x14ac:dyDescent="0.35">
      <c r="A751">
        <v>735657010</v>
      </c>
      <c r="B751" t="s">
        <v>224</v>
      </c>
      <c r="C751" t="s">
        <v>92</v>
      </c>
      <c r="D751" t="s">
        <v>29</v>
      </c>
      <c r="E751" s="30" t="s">
        <v>14</v>
      </c>
      <c r="F751" s="31">
        <v>0</v>
      </c>
      <c r="G751" s="31">
        <v>0</v>
      </c>
      <c r="H751" s="31">
        <v>0</v>
      </c>
      <c r="I751" s="31">
        <v>2</v>
      </c>
      <c r="J751" s="31">
        <f t="shared" si="45"/>
        <v>2</v>
      </c>
      <c r="K751" s="28">
        <v>2798000</v>
      </c>
      <c r="L751" s="29">
        <v>0.45</v>
      </c>
      <c r="M751" s="31">
        <f t="shared" si="46"/>
        <v>1259100</v>
      </c>
      <c r="N751" s="28">
        <f t="shared" si="44"/>
        <v>1538900.0000000002</v>
      </c>
      <c r="O751" s="28">
        <v>2238400</v>
      </c>
    </row>
    <row r="752" spans="1:15" x14ac:dyDescent="0.35">
      <c r="A752">
        <v>735657011</v>
      </c>
      <c r="B752" t="s">
        <v>226</v>
      </c>
      <c r="C752" t="s">
        <v>92</v>
      </c>
      <c r="D752" t="s">
        <v>29</v>
      </c>
      <c r="E752" s="30" t="s">
        <v>14</v>
      </c>
      <c r="F752" s="31">
        <v>0</v>
      </c>
      <c r="G752" s="31">
        <v>0</v>
      </c>
      <c r="H752" s="31">
        <v>0</v>
      </c>
      <c r="I752" s="31">
        <v>2</v>
      </c>
      <c r="J752" s="31">
        <f t="shared" si="45"/>
        <v>2</v>
      </c>
      <c r="K752" s="28">
        <v>2798000</v>
      </c>
      <c r="L752" s="29">
        <v>0.45</v>
      </c>
      <c r="M752" s="31">
        <f t="shared" si="46"/>
        <v>1259100</v>
      </c>
      <c r="N752" s="28">
        <f t="shared" si="44"/>
        <v>1538900.0000000002</v>
      </c>
      <c r="O752" s="28">
        <v>2238400</v>
      </c>
    </row>
    <row r="753" spans="1:15" x14ac:dyDescent="0.35">
      <c r="A753">
        <v>735658003</v>
      </c>
      <c r="B753" t="s">
        <v>217</v>
      </c>
      <c r="C753" t="s">
        <v>92</v>
      </c>
      <c r="D753" t="s">
        <v>29</v>
      </c>
      <c r="E753" s="30" t="s">
        <v>14</v>
      </c>
      <c r="F753" s="31">
        <v>0</v>
      </c>
      <c r="G753" s="31">
        <v>0</v>
      </c>
      <c r="H753" s="31">
        <v>0</v>
      </c>
      <c r="I753" s="31">
        <v>2</v>
      </c>
      <c r="J753" s="31">
        <f t="shared" si="45"/>
        <v>2</v>
      </c>
      <c r="K753" s="28">
        <v>3498000</v>
      </c>
      <c r="L753" s="29">
        <v>0.45</v>
      </c>
      <c r="M753" s="31">
        <f t="shared" si="46"/>
        <v>1574100</v>
      </c>
      <c r="N753" s="28">
        <f t="shared" si="44"/>
        <v>1923900.0000000002</v>
      </c>
      <c r="O753" s="28">
        <v>2798400</v>
      </c>
    </row>
    <row r="754" spans="1:15" x14ac:dyDescent="0.35">
      <c r="A754">
        <v>735658005</v>
      </c>
      <c r="B754" t="s">
        <v>219</v>
      </c>
      <c r="C754" t="s">
        <v>92</v>
      </c>
      <c r="D754" t="s">
        <v>29</v>
      </c>
      <c r="E754" s="30" t="s">
        <v>14</v>
      </c>
      <c r="F754" s="31">
        <v>0</v>
      </c>
      <c r="G754" s="31">
        <v>0</v>
      </c>
      <c r="H754" s="31">
        <v>0</v>
      </c>
      <c r="I754" s="31">
        <v>4</v>
      </c>
      <c r="J754" s="31">
        <f t="shared" si="45"/>
        <v>4</v>
      </c>
      <c r="K754" s="28">
        <v>3498000</v>
      </c>
      <c r="L754" s="29">
        <v>0.45</v>
      </c>
      <c r="M754" s="31">
        <f t="shared" si="46"/>
        <v>1574100</v>
      </c>
      <c r="N754" s="28">
        <f t="shared" si="44"/>
        <v>1923900.0000000002</v>
      </c>
      <c r="O754" s="28">
        <v>2798400</v>
      </c>
    </row>
    <row r="755" spans="1:15" x14ac:dyDescent="0.35">
      <c r="A755">
        <v>735658006</v>
      </c>
      <c r="B755" t="s">
        <v>215</v>
      </c>
      <c r="C755" t="s">
        <v>92</v>
      </c>
      <c r="D755" t="s">
        <v>29</v>
      </c>
      <c r="E755" s="30" t="s">
        <v>14</v>
      </c>
      <c r="F755" s="31">
        <v>0</v>
      </c>
      <c r="G755" s="31">
        <v>0</v>
      </c>
      <c r="H755" s="31">
        <v>0</v>
      </c>
      <c r="I755" s="31">
        <v>6</v>
      </c>
      <c r="J755" s="31">
        <f t="shared" si="45"/>
        <v>6</v>
      </c>
      <c r="K755" s="28">
        <v>3498000</v>
      </c>
      <c r="L755" s="29">
        <v>0.45</v>
      </c>
      <c r="M755" s="31">
        <f t="shared" si="46"/>
        <v>1574100</v>
      </c>
      <c r="N755" s="28">
        <f t="shared" si="44"/>
        <v>1923900.0000000002</v>
      </c>
      <c r="O755" s="28">
        <v>2798400</v>
      </c>
    </row>
    <row r="756" spans="1:15" x14ac:dyDescent="0.35">
      <c r="A756">
        <v>735658007</v>
      </c>
      <c r="B756" t="s">
        <v>218</v>
      </c>
      <c r="C756" t="s">
        <v>92</v>
      </c>
      <c r="D756" t="s">
        <v>29</v>
      </c>
      <c r="E756" s="30" t="s">
        <v>14</v>
      </c>
      <c r="F756" s="31">
        <v>0</v>
      </c>
      <c r="G756" s="31">
        <v>0</v>
      </c>
      <c r="H756" s="31">
        <v>0</v>
      </c>
      <c r="I756" s="31">
        <v>1</v>
      </c>
      <c r="J756" s="31">
        <f t="shared" si="45"/>
        <v>1</v>
      </c>
      <c r="K756" s="28">
        <v>3498000</v>
      </c>
      <c r="L756" s="29">
        <v>0.45</v>
      </c>
      <c r="M756" s="31">
        <f t="shared" si="46"/>
        <v>1574100</v>
      </c>
      <c r="N756" s="28">
        <f t="shared" si="44"/>
        <v>1923900.0000000002</v>
      </c>
      <c r="O756" s="28">
        <v>2798400</v>
      </c>
    </row>
    <row r="757" spans="1:15" x14ac:dyDescent="0.35">
      <c r="A757">
        <v>735658009</v>
      </c>
      <c r="B757" t="s">
        <v>220</v>
      </c>
      <c r="C757" t="s">
        <v>92</v>
      </c>
      <c r="D757" t="s">
        <v>29</v>
      </c>
      <c r="E757" s="30" t="s">
        <v>14</v>
      </c>
      <c r="F757" s="31">
        <v>0</v>
      </c>
      <c r="G757" s="31">
        <v>0</v>
      </c>
      <c r="H757" s="31">
        <v>0</v>
      </c>
      <c r="I757" s="31">
        <v>5</v>
      </c>
      <c r="J757" s="31">
        <f t="shared" si="45"/>
        <v>5</v>
      </c>
      <c r="K757" s="28">
        <v>3498000</v>
      </c>
      <c r="L757" s="29">
        <v>0.45</v>
      </c>
      <c r="M757" s="31">
        <f t="shared" si="46"/>
        <v>1574100</v>
      </c>
      <c r="N757" s="28">
        <f t="shared" si="44"/>
        <v>1923900.0000000002</v>
      </c>
      <c r="O757" s="28">
        <v>2798400</v>
      </c>
    </row>
    <row r="758" spans="1:15" x14ac:dyDescent="0.35">
      <c r="A758">
        <v>735658010</v>
      </c>
      <c r="B758" t="s">
        <v>216</v>
      </c>
      <c r="C758" t="s">
        <v>92</v>
      </c>
      <c r="D758" t="s">
        <v>29</v>
      </c>
      <c r="E758" s="30" t="s">
        <v>14</v>
      </c>
      <c r="F758" s="31">
        <v>0</v>
      </c>
      <c r="G758" s="31">
        <v>0</v>
      </c>
      <c r="H758" s="31">
        <v>0</v>
      </c>
      <c r="I758" s="31">
        <v>9</v>
      </c>
      <c r="J758" s="31">
        <f t="shared" si="45"/>
        <v>9</v>
      </c>
      <c r="K758" s="28">
        <v>3498000</v>
      </c>
      <c r="L758" s="29">
        <v>0.45</v>
      </c>
      <c r="M758" s="31">
        <f t="shared" si="46"/>
        <v>1574100</v>
      </c>
      <c r="N758" s="28">
        <f t="shared" si="44"/>
        <v>1923900.0000000002</v>
      </c>
      <c r="O758" s="28">
        <v>2798400</v>
      </c>
    </row>
    <row r="759" spans="1:15" x14ac:dyDescent="0.35">
      <c r="A759">
        <v>735659001</v>
      </c>
      <c r="B759" t="s">
        <v>245</v>
      </c>
      <c r="C759" t="s">
        <v>92</v>
      </c>
      <c r="D759" t="s">
        <v>29</v>
      </c>
      <c r="E759" s="30" t="s">
        <v>14</v>
      </c>
      <c r="F759" s="31">
        <v>0</v>
      </c>
      <c r="G759" s="31">
        <v>0</v>
      </c>
      <c r="H759" s="31">
        <v>0</v>
      </c>
      <c r="I759" s="31">
        <v>1</v>
      </c>
      <c r="J759" s="31">
        <f t="shared" si="45"/>
        <v>1</v>
      </c>
      <c r="K759" s="28">
        <v>1848000</v>
      </c>
      <c r="L759" s="29">
        <v>0.45</v>
      </c>
      <c r="M759" s="31">
        <f t="shared" si="46"/>
        <v>831600</v>
      </c>
      <c r="N759" s="28">
        <f t="shared" si="44"/>
        <v>1016400.0000000001</v>
      </c>
      <c r="O759" s="28">
        <v>1478400</v>
      </c>
    </row>
    <row r="760" spans="1:15" x14ac:dyDescent="0.35">
      <c r="A760">
        <v>735659002</v>
      </c>
      <c r="B760" t="s">
        <v>246</v>
      </c>
      <c r="C760" t="s">
        <v>92</v>
      </c>
      <c r="D760" t="s">
        <v>29</v>
      </c>
      <c r="E760" s="30" t="s">
        <v>14</v>
      </c>
      <c r="F760" s="31">
        <v>0</v>
      </c>
      <c r="G760" s="31">
        <v>0</v>
      </c>
      <c r="H760" s="31">
        <v>0</v>
      </c>
      <c r="I760" s="31">
        <v>1</v>
      </c>
      <c r="J760" s="31">
        <f t="shared" si="45"/>
        <v>1</v>
      </c>
      <c r="K760" s="28">
        <v>1848000</v>
      </c>
      <c r="L760" s="29">
        <v>0.45</v>
      </c>
      <c r="M760" s="31">
        <f t="shared" si="46"/>
        <v>831600</v>
      </c>
      <c r="N760" s="28">
        <f t="shared" si="44"/>
        <v>1016400.0000000001</v>
      </c>
      <c r="O760" s="28">
        <v>1478400</v>
      </c>
    </row>
    <row r="761" spans="1:15" x14ac:dyDescent="0.35">
      <c r="A761">
        <v>735659003</v>
      </c>
      <c r="B761" t="s">
        <v>247</v>
      </c>
      <c r="C761" t="s">
        <v>92</v>
      </c>
      <c r="D761" t="s">
        <v>29</v>
      </c>
      <c r="E761" s="30" t="s">
        <v>14</v>
      </c>
      <c r="F761" s="31">
        <v>0</v>
      </c>
      <c r="G761" s="31">
        <v>0</v>
      </c>
      <c r="H761" s="31">
        <v>0</v>
      </c>
      <c r="I761" s="31">
        <v>1</v>
      </c>
      <c r="J761" s="31">
        <f t="shared" si="45"/>
        <v>1</v>
      </c>
      <c r="K761" s="28">
        <v>1848000</v>
      </c>
      <c r="L761" s="29">
        <v>0.45</v>
      </c>
      <c r="M761" s="31">
        <f t="shared" si="46"/>
        <v>831600</v>
      </c>
      <c r="N761" s="28">
        <f t="shared" si="44"/>
        <v>1016400.0000000001</v>
      </c>
      <c r="O761" s="28">
        <v>1478400</v>
      </c>
    </row>
    <row r="762" spans="1:15" x14ac:dyDescent="0.35">
      <c r="A762">
        <v>735659004</v>
      </c>
      <c r="B762" t="s">
        <v>244</v>
      </c>
      <c r="C762" t="s">
        <v>92</v>
      </c>
      <c r="D762" t="s">
        <v>29</v>
      </c>
      <c r="E762" s="30" t="s">
        <v>14</v>
      </c>
      <c r="F762" s="31">
        <v>0</v>
      </c>
      <c r="G762" s="31">
        <v>0</v>
      </c>
      <c r="H762" s="31">
        <v>0</v>
      </c>
      <c r="I762" s="31">
        <v>1</v>
      </c>
      <c r="J762" s="31">
        <f t="shared" si="45"/>
        <v>1</v>
      </c>
      <c r="K762" s="28">
        <v>1848000</v>
      </c>
      <c r="L762" s="29">
        <v>0.45</v>
      </c>
      <c r="M762" s="31">
        <f t="shared" si="46"/>
        <v>831600</v>
      </c>
      <c r="N762" s="28">
        <f t="shared" si="44"/>
        <v>1016400.0000000001</v>
      </c>
      <c r="O762" s="28">
        <v>1478400</v>
      </c>
    </row>
    <row r="763" spans="1:15" x14ac:dyDescent="0.35">
      <c r="A763">
        <v>735855001</v>
      </c>
      <c r="B763" t="s">
        <v>229</v>
      </c>
      <c r="C763" t="s">
        <v>92</v>
      </c>
      <c r="D763" t="s">
        <v>29</v>
      </c>
      <c r="E763" s="30" t="s">
        <v>14</v>
      </c>
      <c r="F763" s="31">
        <v>0</v>
      </c>
      <c r="G763" s="31">
        <v>0</v>
      </c>
      <c r="H763" s="31">
        <v>0</v>
      </c>
      <c r="I763" s="31">
        <v>2</v>
      </c>
      <c r="J763" s="31">
        <f t="shared" si="45"/>
        <v>2</v>
      </c>
      <c r="K763" s="28">
        <v>3498000</v>
      </c>
      <c r="L763" s="29">
        <v>0.45</v>
      </c>
      <c r="M763" s="31">
        <f t="shared" si="46"/>
        <v>1574100</v>
      </c>
      <c r="N763" s="28">
        <f t="shared" si="44"/>
        <v>1923900.0000000002</v>
      </c>
      <c r="O763" s="28">
        <v>2798400</v>
      </c>
    </row>
    <row r="764" spans="1:15" x14ac:dyDescent="0.35">
      <c r="A764">
        <v>735855002</v>
      </c>
      <c r="B764" t="s">
        <v>230</v>
      </c>
      <c r="C764" t="s">
        <v>92</v>
      </c>
      <c r="D764" t="s">
        <v>29</v>
      </c>
      <c r="E764" s="30" t="s">
        <v>14</v>
      </c>
      <c r="F764" s="31">
        <v>0</v>
      </c>
      <c r="G764" s="31">
        <v>0</v>
      </c>
      <c r="H764" s="31">
        <v>0</v>
      </c>
      <c r="I764" s="31">
        <v>8</v>
      </c>
      <c r="J764" s="31">
        <f t="shared" si="45"/>
        <v>8</v>
      </c>
      <c r="K764" s="28">
        <v>3498000</v>
      </c>
      <c r="L764" s="29">
        <v>0.45</v>
      </c>
      <c r="M764" s="31">
        <f t="shared" si="46"/>
        <v>1574100</v>
      </c>
      <c r="N764" s="28">
        <f t="shared" si="44"/>
        <v>1923900.0000000002</v>
      </c>
      <c r="O764" s="28">
        <v>2798400</v>
      </c>
    </row>
    <row r="765" spans="1:15" x14ac:dyDescent="0.35">
      <c r="A765">
        <v>737167001</v>
      </c>
      <c r="B765" t="s">
        <v>207</v>
      </c>
      <c r="C765" t="s">
        <v>92</v>
      </c>
      <c r="D765" t="s">
        <v>29</v>
      </c>
      <c r="E765" s="30" t="s">
        <v>14</v>
      </c>
      <c r="F765" s="31">
        <v>0</v>
      </c>
      <c r="G765" s="31">
        <v>0</v>
      </c>
      <c r="H765" s="31">
        <v>0</v>
      </c>
      <c r="I765" s="31">
        <v>11</v>
      </c>
      <c r="J765" s="31">
        <f t="shared" si="45"/>
        <v>11</v>
      </c>
      <c r="K765" s="28">
        <v>1098000</v>
      </c>
      <c r="L765" s="29">
        <v>0.45</v>
      </c>
      <c r="M765" s="31">
        <f t="shared" si="46"/>
        <v>494100</v>
      </c>
      <c r="N765" s="28">
        <f t="shared" si="44"/>
        <v>603900</v>
      </c>
      <c r="O765" s="28">
        <v>878400</v>
      </c>
    </row>
    <row r="766" spans="1:15" x14ac:dyDescent="0.35">
      <c r="A766">
        <v>737167002</v>
      </c>
      <c r="B766" t="s">
        <v>530</v>
      </c>
      <c r="C766" t="s">
        <v>92</v>
      </c>
      <c r="D766" t="s">
        <v>29</v>
      </c>
      <c r="E766" s="30" t="s">
        <v>14</v>
      </c>
      <c r="F766" s="31">
        <v>0</v>
      </c>
      <c r="G766" s="31">
        <v>0</v>
      </c>
      <c r="H766" s="31">
        <v>0</v>
      </c>
      <c r="I766" s="31">
        <v>22</v>
      </c>
      <c r="J766" s="31">
        <f t="shared" si="45"/>
        <v>22</v>
      </c>
      <c r="K766" s="28">
        <v>1098000</v>
      </c>
      <c r="L766" s="29">
        <v>0.45</v>
      </c>
      <c r="M766" s="31">
        <f t="shared" si="46"/>
        <v>494100</v>
      </c>
      <c r="N766" s="28">
        <f t="shared" si="44"/>
        <v>603900</v>
      </c>
      <c r="O766" s="28">
        <v>878400</v>
      </c>
    </row>
    <row r="767" spans="1:15" x14ac:dyDescent="0.35">
      <c r="A767">
        <v>737167003</v>
      </c>
      <c r="B767" t="s">
        <v>531</v>
      </c>
      <c r="C767" t="s">
        <v>92</v>
      </c>
      <c r="D767" t="s">
        <v>29</v>
      </c>
      <c r="E767" s="30" t="s">
        <v>14</v>
      </c>
      <c r="F767" s="31">
        <v>0</v>
      </c>
      <c r="G767" s="31">
        <v>0</v>
      </c>
      <c r="H767" s="31">
        <v>0</v>
      </c>
      <c r="I767" s="31">
        <v>12</v>
      </c>
      <c r="J767" s="31">
        <f t="shared" si="45"/>
        <v>12</v>
      </c>
      <c r="K767" s="28">
        <v>1098000</v>
      </c>
      <c r="L767" s="29">
        <v>0.45</v>
      </c>
      <c r="M767" s="31">
        <f t="shared" si="46"/>
        <v>494100</v>
      </c>
      <c r="N767" s="28">
        <f t="shared" si="44"/>
        <v>603900</v>
      </c>
      <c r="O767" s="28">
        <v>878400</v>
      </c>
    </row>
    <row r="768" spans="1:15" x14ac:dyDescent="0.35">
      <c r="A768">
        <v>737167004</v>
      </c>
      <c r="B768" t="s">
        <v>532</v>
      </c>
      <c r="C768" t="s">
        <v>92</v>
      </c>
      <c r="D768" t="s">
        <v>29</v>
      </c>
      <c r="E768" s="30" t="s">
        <v>14</v>
      </c>
      <c r="F768" s="31">
        <v>0</v>
      </c>
      <c r="G768" s="31">
        <v>0</v>
      </c>
      <c r="H768" s="31">
        <v>0</v>
      </c>
      <c r="I768" s="31">
        <v>3</v>
      </c>
      <c r="J768" s="31">
        <f t="shared" si="45"/>
        <v>3</v>
      </c>
      <c r="K768" s="28">
        <v>1098000</v>
      </c>
      <c r="L768" s="29">
        <v>0.45</v>
      </c>
      <c r="M768" s="31">
        <f t="shared" si="46"/>
        <v>494100</v>
      </c>
      <c r="N768" s="28">
        <f t="shared" si="44"/>
        <v>603900</v>
      </c>
      <c r="O768" s="28">
        <v>878400</v>
      </c>
    </row>
    <row r="769" spans="1:15" x14ac:dyDescent="0.35">
      <c r="A769">
        <v>737167005</v>
      </c>
      <c r="B769" t="s">
        <v>533</v>
      </c>
      <c r="C769" t="s">
        <v>92</v>
      </c>
      <c r="D769" t="s">
        <v>29</v>
      </c>
      <c r="E769" s="30" t="s">
        <v>14</v>
      </c>
      <c r="F769" s="31">
        <v>0</v>
      </c>
      <c r="G769" s="31">
        <v>0</v>
      </c>
      <c r="H769" s="31">
        <v>0</v>
      </c>
      <c r="I769" s="31">
        <v>9</v>
      </c>
      <c r="J769" s="31">
        <f t="shared" si="45"/>
        <v>9</v>
      </c>
      <c r="K769" s="28">
        <v>1098000</v>
      </c>
      <c r="L769" s="29">
        <v>0.45</v>
      </c>
      <c r="M769" s="31">
        <f t="shared" si="46"/>
        <v>494100</v>
      </c>
      <c r="N769" s="28">
        <f t="shared" si="44"/>
        <v>603900</v>
      </c>
      <c r="O769" s="28">
        <v>878400</v>
      </c>
    </row>
    <row r="770" spans="1:15" x14ac:dyDescent="0.35">
      <c r="A770">
        <v>737167006</v>
      </c>
      <c r="B770" t="s">
        <v>205</v>
      </c>
      <c r="C770" t="s">
        <v>92</v>
      </c>
      <c r="D770" t="s">
        <v>29</v>
      </c>
      <c r="E770" s="30" t="s">
        <v>14</v>
      </c>
      <c r="F770" s="31">
        <v>0</v>
      </c>
      <c r="G770" s="31">
        <v>0</v>
      </c>
      <c r="H770" s="31">
        <v>0</v>
      </c>
      <c r="I770" s="31">
        <v>4</v>
      </c>
      <c r="J770" s="31">
        <f t="shared" si="45"/>
        <v>4</v>
      </c>
      <c r="K770" s="28">
        <v>1098000</v>
      </c>
      <c r="L770" s="29">
        <v>0.45</v>
      </c>
      <c r="M770" s="31">
        <f t="shared" si="46"/>
        <v>494100</v>
      </c>
      <c r="N770" s="28">
        <f t="shared" si="44"/>
        <v>603900</v>
      </c>
      <c r="O770" s="28">
        <v>878400</v>
      </c>
    </row>
    <row r="771" spans="1:15" x14ac:dyDescent="0.35">
      <c r="A771">
        <v>737167007</v>
      </c>
      <c r="B771" t="s">
        <v>206</v>
      </c>
      <c r="C771" t="s">
        <v>92</v>
      </c>
      <c r="D771" t="s">
        <v>29</v>
      </c>
      <c r="E771" s="30" t="s">
        <v>14</v>
      </c>
      <c r="F771" s="31">
        <v>0</v>
      </c>
      <c r="G771" s="31">
        <v>0</v>
      </c>
      <c r="H771" s="31">
        <v>0</v>
      </c>
      <c r="I771" s="31">
        <v>5</v>
      </c>
      <c r="J771" s="31">
        <f t="shared" si="45"/>
        <v>5</v>
      </c>
      <c r="K771" s="28">
        <v>1098000</v>
      </c>
      <c r="L771" s="29">
        <v>0.45</v>
      </c>
      <c r="M771" s="31">
        <f t="shared" si="46"/>
        <v>494100</v>
      </c>
      <c r="N771" s="28">
        <f t="shared" ref="N771:N834" si="47">K771*(1-L771)</f>
        <v>603900</v>
      </c>
      <c r="O771" s="28">
        <v>878400</v>
      </c>
    </row>
    <row r="772" spans="1:15" x14ac:dyDescent="0.35">
      <c r="A772">
        <v>737167008</v>
      </c>
      <c r="B772" t="s">
        <v>534</v>
      </c>
      <c r="C772" t="s">
        <v>92</v>
      </c>
      <c r="D772" t="s">
        <v>29</v>
      </c>
      <c r="E772" s="30" t="s">
        <v>14</v>
      </c>
      <c r="F772" s="31">
        <v>0</v>
      </c>
      <c r="G772" s="31">
        <v>0</v>
      </c>
      <c r="H772" s="31">
        <v>0</v>
      </c>
      <c r="I772" s="31">
        <v>9</v>
      </c>
      <c r="J772" s="31">
        <f t="shared" ref="J772:J835" si="48">SUM(F772:I772)</f>
        <v>9</v>
      </c>
      <c r="K772" s="28">
        <v>1098000</v>
      </c>
      <c r="L772" s="29">
        <v>0.45</v>
      </c>
      <c r="M772" s="31">
        <f t="shared" ref="M772:M835" si="49">K772*L772</f>
        <v>494100</v>
      </c>
      <c r="N772" s="28">
        <f t="shared" si="47"/>
        <v>603900</v>
      </c>
      <c r="O772" s="28">
        <v>878400</v>
      </c>
    </row>
    <row r="773" spans="1:15" x14ac:dyDescent="0.35">
      <c r="A773">
        <v>737167009</v>
      </c>
      <c r="B773" t="s">
        <v>203</v>
      </c>
      <c r="C773" t="s">
        <v>92</v>
      </c>
      <c r="D773" t="s">
        <v>29</v>
      </c>
      <c r="E773" s="30" t="s">
        <v>14</v>
      </c>
      <c r="F773" s="31">
        <v>0</v>
      </c>
      <c r="G773" s="31">
        <v>0</v>
      </c>
      <c r="H773" s="31">
        <v>0</v>
      </c>
      <c r="I773" s="31">
        <v>3</v>
      </c>
      <c r="J773" s="31">
        <f t="shared" si="48"/>
        <v>3</v>
      </c>
      <c r="K773" s="28">
        <v>1098000</v>
      </c>
      <c r="L773" s="29">
        <v>0.45</v>
      </c>
      <c r="M773" s="31">
        <f t="shared" si="49"/>
        <v>494100</v>
      </c>
      <c r="N773" s="28">
        <f t="shared" si="47"/>
        <v>603900</v>
      </c>
      <c r="O773" s="28">
        <v>878400</v>
      </c>
    </row>
    <row r="774" spans="1:15" x14ac:dyDescent="0.35">
      <c r="A774">
        <v>737167010</v>
      </c>
      <c r="B774" t="s">
        <v>535</v>
      </c>
      <c r="C774" t="s">
        <v>92</v>
      </c>
      <c r="D774" t="s">
        <v>29</v>
      </c>
      <c r="E774" s="30" t="s">
        <v>14</v>
      </c>
      <c r="F774" s="31">
        <v>0</v>
      </c>
      <c r="G774" s="31">
        <v>0</v>
      </c>
      <c r="H774" s="31">
        <v>0</v>
      </c>
      <c r="I774" s="31">
        <v>1</v>
      </c>
      <c r="J774" s="31">
        <f t="shared" si="48"/>
        <v>1</v>
      </c>
      <c r="K774" s="28">
        <v>1098000</v>
      </c>
      <c r="L774" s="29">
        <v>0.45</v>
      </c>
      <c r="M774" s="31">
        <f t="shared" si="49"/>
        <v>494100</v>
      </c>
      <c r="N774" s="28">
        <f t="shared" si="47"/>
        <v>603900</v>
      </c>
      <c r="O774" s="28">
        <v>878400</v>
      </c>
    </row>
    <row r="775" spans="1:15" x14ac:dyDescent="0.35">
      <c r="A775">
        <v>737167011</v>
      </c>
      <c r="B775" t="s">
        <v>536</v>
      </c>
      <c r="C775" t="s">
        <v>92</v>
      </c>
      <c r="D775" t="s">
        <v>29</v>
      </c>
      <c r="E775" s="30" t="s">
        <v>14</v>
      </c>
      <c r="F775" s="31">
        <v>0</v>
      </c>
      <c r="G775" s="31">
        <v>0</v>
      </c>
      <c r="H775" s="31">
        <v>0</v>
      </c>
      <c r="I775" s="31">
        <v>3</v>
      </c>
      <c r="J775" s="31">
        <f t="shared" si="48"/>
        <v>3</v>
      </c>
      <c r="K775" s="28">
        <v>1098000</v>
      </c>
      <c r="L775" s="29">
        <v>0.45</v>
      </c>
      <c r="M775" s="31">
        <f t="shared" si="49"/>
        <v>494100</v>
      </c>
      <c r="N775" s="28">
        <f t="shared" si="47"/>
        <v>603900</v>
      </c>
      <c r="O775" s="28">
        <v>878400</v>
      </c>
    </row>
    <row r="776" spans="1:15" x14ac:dyDescent="0.35">
      <c r="A776">
        <v>737167012</v>
      </c>
      <c r="B776" t="s">
        <v>204</v>
      </c>
      <c r="C776" t="s">
        <v>92</v>
      </c>
      <c r="D776" t="s">
        <v>29</v>
      </c>
      <c r="E776" s="30" t="s">
        <v>14</v>
      </c>
      <c r="F776" s="31">
        <v>0</v>
      </c>
      <c r="G776" s="31">
        <v>0</v>
      </c>
      <c r="H776" s="31">
        <v>0</v>
      </c>
      <c r="I776" s="31">
        <v>1</v>
      </c>
      <c r="J776" s="31">
        <f t="shared" si="48"/>
        <v>1</v>
      </c>
      <c r="K776" s="28">
        <v>1098000</v>
      </c>
      <c r="L776" s="29">
        <v>0.45</v>
      </c>
      <c r="M776" s="31">
        <f t="shared" si="49"/>
        <v>494100</v>
      </c>
      <c r="N776" s="28">
        <f t="shared" si="47"/>
        <v>603900</v>
      </c>
      <c r="O776" s="28">
        <v>878400</v>
      </c>
    </row>
    <row r="777" spans="1:15" x14ac:dyDescent="0.35">
      <c r="A777">
        <v>737167013</v>
      </c>
      <c r="B777" t="s">
        <v>208</v>
      </c>
      <c r="C777" t="s">
        <v>92</v>
      </c>
      <c r="D777" t="s">
        <v>29</v>
      </c>
      <c r="E777" s="30" t="s">
        <v>14</v>
      </c>
      <c r="F777" s="31">
        <v>0</v>
      </c>
      <c r="G777" s="31">
        <v>0</v>
      </c>
      <c r="H777" s="31">
        <v>0</v>
      </c>
      <c r="I777" s="31">
        <v>14</v>
      </c>
      <c r="J777" s="31">
        <f t="shared" si="48"/>
        <v>14</v>
      </c>
      <c r="K777" s="28">
        <v>1098000</v>
      </c>
      <c r="L777" s="29">
        <v>0.45</v>
      </c>
      <c r="M777" s="31">
        <f t="shared" si="49"/>
        <v>494100</v>
      </c>
      <c r="N777" s="28">
        <f t="shared" si="47"/>
        <v>603900</v>
      </c>
      <c r="O777" s="28">
        <v>878400</v>
      </c>
    </row>
    <row r="778" spans="1:15" x14ac:dyDescent="0.35">
      <c r="A778">
        <v>737167014</v>
      </c>
      <c r="B778" t="s">
        <v>537</v>
      </c>
      <c r="C778" t="s">
        <v>92</v>
      </c>
      <c r="D778" t="s">
        <v>29</v>
      </c>
      <c r="E778" s="30" t="s">
        <v>14</v>
      </c>
      <c r="F778" s="31">
        <v>0</v>
      </c>
      <c r="G778" s="31">
        <v>0</v>
      </c>
      <c r="H778" s="31">
        <v>0</v>
      </c>
      <c r="I778" s="31">
        <v>22</v>
      </c>
      <c r="J778" s="31">
        <f t="shared" si="48"/>
        <v>22</v>
      </c>
      <c r="K778" s="28">
        <v>1098000</v>
      </c>
      <c r="L778" s="29">
        <v>0.45</v>
      </c>
      <c r="M778" s="31">
        <f t="shared" si="49"/>
        <v>494100</v>
      </c>
      <c r="N778" s="28">
        <f t="shared" si="47"/>
        <v>603900</v>
      </c>
      <c r="O778" s="28">
        <v>878400</v>
      </c>
    </row>
    <row r="779" spans="1:15" x14ac:dyDescent="0.35">
      <c r="A779">
        <v>737167015</v>
      </c>
      <c r="B779" t="s">
        <v>538</v>
      </c>
      <c r="C779" t="s">
        <v>92</v>
      </c>
      <c r="D779" t="s">
        <v>29</v>
      </c>
      <c r="E779" s="30" t="s">
        <v>14</v>
      </c>
      <c r="F779" s="31">
        <v>0</v>
      </c>
      <c r="G779" s="31">
        <v>0</v>
      </c>
      <c r="H779" s="31">
        <v>0</v>
      </c>
      <c r="I779" s="31">
        <v>11</v>
      </c>
      <c r="J779" s="31">
        <f t="shared" si="48"/>
        <v>11</v>
      </c>
      <c r="K779" s="28">
        <v>1098000</v>
      </c>
      <c r="L779" s="29">
        <v>0.45</v>
      </c>
      <c r="M779" s="31">
        <f t="shared" si="49"/>
        <v>494100</v>
      </c>
      <c r="N779" s="28">
        <f t="shared" si="47"/>
        <v>603900</v>
      </c>
      <c r="O779" s="28">
        <v>878400</v>
      </c>
    </row>
    <row r="780" spans="1:15" x14ac:dyDescent="0.35">
      <c r="A780">
        <v>737167016</v>
      </c>
      <c r="B780" t="s">
        <v>539</v>
      </c>
      <c r="C780" t="s">
        <v>92</v>
      </c>
      <c r="D780" t="s">
        <v>29</v>
      </c>
      <c r="E780" s="30" t="s">
        <v>14</v>
      </c>
      <c r="F780" s="31">
        <v>0</v>
      </c>
      <c r="G780" s="31">
        <v>0</v>
      </c>
      <c r="H780" s="31">
        <v>0</v>
      </c>
      <c r="I780" s="31">
        <v>2</v>
      </c>
      <c r="J780" s="31">
        <f t="shared" si="48"/>
        <v>2</v>
      </c>
      <c r="K780" s="28">
        <v>1098000</v>
      </c>
      <c r="L780" s="29">
        <v>0.45</v>
      </c>
      <c r="M780" s="31">
        <f t="shared" si="49"/>
        <v>494100</v>
      </c>
      <c r="N780" s="28">
        <f t="shared" si="47"/>
        <v>603900</v>
      </c>
      <c r="O780" s="28">
        <v>878400</v>
      </c>
    </row>
    <row r="781" spans="1:15" x14ac:dyDescent="0.35">
      <c r="A781">
        <v>737167017</v>
      </c>
      <c r="B781" t="s">
        <v>540</v>
      </c>
      <c r="C781" t="s">
        <v>92</v>
      </c>
      <c r="D781" t="s">
        <v>29</v>
      </c>
      <c r="E781" s="30" t="s">
        <v>14</v>
      </c>
      <c r="F781" s="31">
        <v>0</v>
      </c>
      <c r="G781" s="31">
        <v>0</v>
      </c>
      <c r="H781" s="31">
        <v>0</v>
      </c>
      <c r="I781" s="31">
        <v>7</v>
      </c>
      <c r="J781" s="31">
        <f t="shared" si="48"/>
        <v>7</v>
      </c>
      <c r="K781" s="28">
        <v>1098000</v>
      </c>
      <c r="L781" s="29">
        <v>0.45</v>
      </c>
      <c r="M781" s="31">
        <f t="shared" si="49"/>
        <v>494100</v>
      </c>
      <c r="N781" s="28">
        <f t="shared" si="47"/>
        <v>603900</v>
      </c>
      <c r="O781" s="28">
        <v>878400</v>
      </c>
    </row>
    <row r="782" spans="1:15" x14ac:dyDescent="0.35">
      <c r="A782">
        <v>737168001</v>
      </c>
      <c r="B782" t="s">
        <v>214</v>
      </c>
      <c r="C782" t="s">
        <v>92</v>
      </c>
      <c r="D782" t="s">
        <v>29</v>
      </c>
      <c r="E782" s="30" t="s">
        <v>14</v>
      </c>
      <c r="F782" s="31">
        <v>0</v>
      </c>
      <c r="G782" s="31">
        <v>0</v>
      </c>
      <c r="H782" s="31">
        <v>0</v>
      </c>
      <c r="I782" s="31">
        <v>1</v>
      </c>
      <c r="J782" s="31">
        <f t="shared" si="48"/>
        <v>1</v>
      </c>
      <c r="K782" s="28">
        <v>1198000</v>
      </c>
      <c r="L782" s="29">
        <v>0.45</v>
      </c>
      <c r="M782" s="31">
        <f t="shared" si="49"/>
        <v>539100</v>
      </c>
      <c r="N782" s="28">
        <f t="shared" si="47"/>
        <v>658900</v>
      </c>
      <c r="O782" s="28">
        <v>958400</v>
      </c>
    </row>
    <row r="783" spans="1:15" x14ac:dyDescent="0.35">
      <c r="A783">
        <v>737168004</v>
      </c>
      <c r="B783" t="s">
        <v>212</v>
      </c>
      <c r="C783" t="s">
        <v>92</v>
      </c>
      <c r="D783" t="s">
        <v>29</v>
      </c>
      <c r="E783" s="30" t="s">
        <v>14</v>
      </c>
      <c r="F783" s="31">
        <v>0</v>
      </c>
      <c r="G783" s="31">
        <v>0</v>
      </c>
      <c r="H783" s="31">
        <v>0</v>
      </c>
      <c r="I783" s="31">
        <v>1</v>
      </c>
      <c r="J783" s="31">
        <f t="shared" si="48"/>
        <v>1</v>
      </c>
      <c r="K783" s="28">
        <v>1198000</v>
      </c>
      <c r="L783" s="29">
        <v>0.45</v>
      </c>
      <c r="M783" s="31">
        <f t="shared" si="49"/>
        <v>539100</v>
      </c>
      <c r="N783" s="28">
        <f t="shared" si="47"/>
        <v>658900</v>
      </c>
      <c r="O783" s="28">
        <v>958400</v>
      </c>
    </row>
    <row r="784" spans="1:15" x14ac:dyDescent="0.35">
      <c r="A784">
        <v>737168010</v>
      </c>
      <c r="B784" t="s">
        <v>213</v>
      </c>
      <c r="C784" t="s">
        <v>92</v>
      </c>
      <c r="D784" t="s">
        <v>29</v>
      </c>
      <c r="E784" s="30" t="s">
        <v>14</v>
      </c>
      <c r="F784" s="31">
        <v>0</v>
      </c>
      <c r="G784" s="31">
        <v>0</v>
      </c>
      <c r="H784" s="31">
        <v>0</v>
      </c>
      <c r="I784" s="31">
        <v>2</v>
      </c>
      <c r="J784" s="31">
        <f t="shared" si="48"/>
        <v>2</v>
      </c>
      <c r="K784" s="28">
        <v>1198000</v>
      </c>
      <c r="L784" s="29">
        <v>0.45</v>
      </c>
      <c r="M784" s="31">
        <f t="shared" si="49"/>
        <v>539100</v>
      </c>
      <c r="N784" s="28">
        <f t="shared" si="47"/>
        <v>658900</v>
      </c>
      <c r="O784" s="28">
        <v>958400</v>
      </c>
    </row>
    <row r="785" spans="1:15" x14ac:dyDescent="0.35">
      <c r="A785">
        <v>733005007</v>
      </c>
      <c r="B785" t="s">
        <v>1042</v>
      </c>
      <c r="C785" t="s">
        <v>89</v>
      </c>
      <c r="D785" t="s">
        <v>29</v>
      </c>
      <c r="E785" s="30" t="s">
        <v>14</v>
      </c>
      <c r="F785" s="31">
        <v>0</v>
      </c>
      <c r="G785" s="31">
        <v>0</v>
      </c>
      <c r="H785" s="31">
        <v>0</v>
      </c>
      <c r="I785" s="31">
        <v>1</v>
      </c>
      <c r="J785" s="31">
        <f t="shared" si="48"/>
        <v>1</v>
      </c>
      <c r="K785" s="28">
        <v>378000</v>
      </c>
      <c r="L785" s="29">
        <v>0.81</v>
      </c>
      <c r="M785" s="31">
        <f t="shared" si="49"/>
        <v>306180</v>
      </c>
      <c r="N785" s="28">
        <f t="shared" si="47"/>
        <v>71819.999999999985</v>
      </c>
      <c r="O785" s="28">
        <v>189000</v>
      </c>
    </row>
    <row r="786" spans="1:15" x14ac:dyDescent="0.35">
      <c r="A786">
        <v>733005009</v>
      </c>
      <c r="B786" t="s">
        <v>1043</v>
      </c>
      <c r="C786" t="s">
        <v>89</v>
      </c>
      <c r="D786" t="s">
        <v>29</v>
      </c>
      <c r="E786" s="30" t="s">
        <v>14</v>
      </c>
      <c r="F786" s="31">
        <v>0</v>
      </c>
      <c r="G786" s="31">
        <v>0</v>
      </c>
      <c r="H786" s="31">
        <v>0</v>
      </c>
      <c r="I786" s="31">
        <v>1</v>
      </c>
      <c r="J786" s="31">
        <f t="shared" si="48"/>
        <v>1</v>
      </c>
      <c r="K786" s="28">
        <v>378000</v>
      </c>
      <c r="L786" s="29">
        <v>0.81</v>
      </c>
      <c r="M786" s="31">
        <f t="shared" si="49"/>
        <v>306180</v>
      </c>
      <c r="N786" s="28">
        <f t="shared" si="47"/>
        <v>71819.999999999985</v>
      </c>
      <c r="O786" s="28">
        <v>189000</v>
      </c>
    </row>
    <row r="787" spans="1:15" x14ac:dyDescent="0.35">
      <c r="A787">
        <v>733006003</v>
      </c>
      <c r="B787" t="s">
        <v>1044</v>
      </c>
      <c r="C787" t="s">
        <v>89</v>
      </c>
      <c r="D787" t="s">
        <v>29</v>
      </c>
      <c r="E787" s="30" t="s">
        <v>14</v>
      </c>
      <c r="F787" s="31">
        <v>0</v>
      </c>
      <c r="G787" s="31">
        <v>0</v>
      </c>
      <c r="H787" s="31">
        <v>0</v>
      </c>
      <c r="I787" s="31">
        <v>1</v>
      </c>
      <c r="J787" s="31">
        <f t="shared" si="48"/>
        <v>1</v>
      </c>
      <c r="K787" s="28">
        <v>428000</v>
      </c>
      <c r="L787" s="29">
        <v>0.81</v>
      </c>
      <c r="M787" s="31">
        <f t="shared" si="49"/>
        <v>346680</v>
      </c>
      <c r="N787" s="28">
        <f t="shared" si="47"/>
        <v>81319.999999999971</v>
      </c>
      <c r="O787" s="28">
        <v>214000</v>
      </c>
    </row>
    <row r="788" spans="1:15" x14ac:dyDescent="0.35">
      <c r="A788">
        <v>734108005</v>
      </c>
      <c r="B788" t="s">
        <v>1045</v>
      </c>
      <c r="C788" t="s">
        <v>89</v>
      </c>
      <c r="D788" t="s">
        <v>29</v>
      </c>
      <c r="E788" s="30" t="s">
        <v>14</v>
      </c>
      <c r="F788" s="31">
        <v>0</v>
      </c>
      <c r="G788" s="31">
        <v>0</v>
      </c>
      <c r="H788" s="31">
        <v>0</v>
      </c>
      <c r="I788" s="31">
        <v>3</v>
      </c>
      <c r="J788" s="31">
        <f t="shared" si="48"/>
        <v>3</v>
      </c>
      <c r="K788" s="28">
        <v>448000</v>
      </c>
      <c r="L788" s="29">
        <v>0.81</v>
      </c>
      <c r="M788" s="31">
        <f t="shared" si="49"/>
        <v>362880</v>
      </c>
      <c r="N788" s="28">
        <f t="shared" si="47"/>
        <v>85119.999999999971</v>
      </c>
      <c r="O788" s="28">
        <v>224000</v>
      </c>
    </row>
    <row r="789" spans="1:15" x14ac:dyDescent="0.35">
      <c r="A789">
        <v>734108006</v>
      </c>
      <c r="B789" t="s">
        <v>1046</v>
      </c>
      <c r="C789" t="s">
        <v>89</v>
      </c>
      <c r="D789" t="s">
        <v>29</v>
      </c>
      <c r="E789" s="30" t="s">
        <v>14</v>
      </c>
      <c r="F789" s="31">
        <v>0</v>
      </c>
      <c r="G789" s="31">
        <v>0</v>
      </c>
      <c r="H789" s="31">
        <v>0</v>
      </c>
      <c r="I789" s="31">
        <v>1</v>
      </c>
      <c r="J789" s="31">
        <f t="shared" si="48"/>
        <v>1</v>
      </c>
      <c r="K789" s="28">
        <v>448000</v>
      </c>
      <c r="L789" s="29">
        <v>0.81</v>
      </c>
      <c r="M789" s="31">
        <f t="shared" si="49"/>
        <v>362880</v>
      </c>
      <c r="N789" s="28">
        <f t="shared" si="47"/>
        <v>85119.999999999971</v>
      </c>
      <c r="O789" s="28">
        <v>224000</v>
      </c>
    </row>
    <row r="790" spans="1:15" x14ac:dyDescent="0.35">
      <c r="A790">
        <v>734108009</v>
      </c>
      <c r="B790" t="s">
        <v>1047</v>
      </c>
      <c r="C790" t="s">
        <v>89</v>
      </c>
      <c r="D790" t="s">
        <v>29</v>
      </c>
      <c r="E790" s="30" t="s">
        <v>14</v>
      </c>
      <c r="F790" s="31">
        <v>0</v>
      </c>
      <c r="G790" s="31">
        <v>0</v>
      </c>
      <c r="H790" s="31">
        <v>0</v>
      </c>
      <c r="I790" s="31">
        <v>1</v>
      </c>
      <c r="J790" s="31">
        <f t="shared" si="48"/>
        <v>1</v>
      </c>
      <c r="K790" s="28">
        <v>448000</v>
      </c>
      <c r="L790" s="29">
        <v>0.81</v>
      </c>
      <c r="M790" s="31">
        <f t="shared" si="49"/>
        <v>362880</v>
      </c>
      <c r="N790" s="28">
        <f t="shared" si="47"/>
        <v>85119.999999999971</v>
      </c>
      <c r="O790" s="28">
        <v>224000</v>
      </c>
    </row>
    <row r="791" spans="1:15" x14ac:dyDescent="0.35">
      <c r="A791">
        <v>734111022</v>
      </c>
      <c r="B791" t="s">
        <v>1054</v>
      </c>
      <c r="C791" t="s">
        <v>89</v>
      </c>
      <c r="D791" t="s">
        <v>29</v>
      </c>
      <c r="E791" s="30" t="s">
        <v>14</v>
      </c>
      <c r="F791" s="31">
        <v>0</v>
      </c>
      <c r="G791" s="31">
        <v>0</v>
      </c>
      <c r="H791" s="31">
        <v>0</v>
      </c>
      <c r="I791" s="31">
        <v>1</v>
      </c>
      <c r="J791" s="31">
        <f t="shared" si="48"/>
        <v>1</v>
      </c>
      <c r="K791" s="28">
        <v>628000</v>
      </c>
      <c r="L791" s="29">
        <v>0.81</v>
      </c>
      <c r="M791" s="31">
        <f t="shared" si="49"/>
        <v>508680.00000000006</v>
      </c>
      <c r="N791" s="28">
        <f t="shared" si="47"/>
        <v>119319.99999999997</v>
      </c>
      <c r="O791" s="28">
        <v>314000</v>
      </c>
    </row>
    <row r="792" spans="1:15" x14ac:dyDescent="0.35">
      <c r="A792">
        <v>734112013</v>
      </c>
      <c r="B792" t="s">
        <v>1059</v>
      </c>
      <c r="C792" t="s">
        <v>89</v>
      </c>
      <c r="D792" t="s">
        <v>29</v>
      </c>
      <c r="E792" s="30" t="s">
        <v>14</v>
      </c>
      <c r="F792" s="31">
        <v>0</v>
      </c>
      <c r="G792" s="31">
        <v>0</v>
      </c>
      <c r="H792" s="31">
        <v>0</v>
      </c>
      <c r="I792" s="31">
        <v>1</v>
      </c>
      <c r="J792" s="31">
        <f t="shared" si="48"/>
        <v>1</v>
      </c>
      <c r="K792" s="28">
        <v>628000</v>
      </c>
      <c r="L792" s="29">
        <v>0.81</v>
      </c>
      <c r="M792" s="31">
        <f t="shared" si="49"/>
        <v>508680.00000000006</v>
      </c>
      <c r="N792" s="28">
        <f t="shared" si="47"/>
        <v>119319.99999999997</v>
      </c>
      <c r="O792" s="28">
        <v>314000</v>
      </c>
    </row>
    <row r="793" spans="1:15" x14ac:dyDescent="0.35">
      <c r="A793">
        <v>734112020</v>
      </c>
      <c r="B793" t="s">
        <v>1061</v>
      </c>
      <c r="C793" t="s">
        <v>89</v>
      </c>
      <c r="D793" t="s">
        <v>29</v>
      </c>
      <c r="E793" s="30" t="s">
        <v>14</v>
      </c>
      <c r="F793" s="31">
        <v>0</v>
      </c>
      <c r="G793" s="31">
        <v>0</v>
      </c>
      <c r="H793" s="31">
        <v>0</v>
      </c>
      <c r="I793" s="31">
        <v>2</v>
      </c>
      <c r="J793" s="31">
        <f t="shared" si="48"/>
        <v>2</v>
      </c>
      <c r="K793" s="28">
        <v>628000</v>
      </c>
      <c r="L793" s="29">
        <v>0.81</v>
      </c>
      <c r="M793" s="31">
        <f t="shared" si="49"/>
        <v>508680.00000000006</v>
      </c>
      <c r="N793" s="28">
        <f t="shared" si="47"/>
        <v>119319.99999999997</v>
      </c>
      <c r="O793" s="28">
        <v>314000</v>
      </c>
    </row>
    <row r="794" spans="1:15" x14ac:dyDescent="0.35">
      <c r="A794">
        <v>734112022</v>
      </c>
      <c r="B794" t="s">
        <v>1063</v>
      </c>
      <c r="C794" t="s">
        <v>89</v>
      </c>
      <c r="D794" t="s">
        <v>29</v>
      </c>
      <c r="E794" s="30" t="s">
        <v>14</v>
      </c>
      <c r="F794" s="31">
        <v>0</v>
      </c>
      <c r="G794" s="31">
        <v>0</v>
      </c>
      <c r="H794" s="31">
        <v>0</v>
      </c>
      <c r="I794" s="31">
        <v>2</v>
      </c>
      <c r="J794" s="31">
        <f t="shared" si="48"/>
        <v>2</v>
      </c>
      <c r="K794" s="28">
        <v>628000</v>
      </c>
      <c r="L794" s="29">
        <v>0.81</v>
      </c>
      <c r="M794" s="31">
        <f t="shared" si="49"/>
        <v>508680.00000000006</v>
      </c>
      <c r="N794" s="28">
        <f t="shared" si="47"/>
        <v>119319.99999999997</v>
      </c>
      <c r="O794" s="28">
        <v>314000</v>
      </c>
    </row>
    <row r="795" spans="1:15" x14ac:dyDescent="0.35">
      <c r="A795">
        <v>734112027</v>
      </c>
      <c r="B795" t="s">
        <v>1064</v>
      </c>
      <c r="C795" t="s">
        <v>89</v>
      </c>
      <c r="D795" t="s">
        <v>29</v>
      </c>
      <c r="E795" s="30" t="s">
        <v>14</v>
      </c>
      <c r="F795" s="31">
        <v>0</v>
      </c>
      <c r="G795" s="31">
        <v>0</v>
      </c>
      <c r="H795" s="31">
        <v>0</v>
      </c>
      <c r="I795" s="31">
        <v>2</v>
      </c>
      <c r="J795" s="31">
        <f t="shared" si="48"/>
        <v>2</v>
      </c>
      <c r="K795" s="28">
        <v>628000</v>
      </c>
      <c r="L795" s="29">
        <v>0.81</v>
      </c>
      <c r="M795" s="31">
        <f t="shared" si="49"/>
        <v>508680.00000000006</v>
      </c>
      <c r="N795" s="28">
        <f t="shared" si="47"/>
        <v>119319.99999999997</v>
      </c>
      <c r="O795" s="28">
        <v>314000</v>
      </c>
    </row>
    <row r="796" spans="1:15" x14ac:dyDescent="0.35">
      <c r="A796">
        <v>736218014</v>
      </c>
      <c r="B796" t="s">
        <v>1067</v>
      </c>
      <c r="C796" t="s">
        <v>89</v>
      </c>
      <c r="D796" t="s">
        <v>29</v>
      </c>
      <c r="E796" s="30" t="s">
        <v>14</v>
      </c>
      <c r="F796" s="31">
        <v>0</v>
      </c>
      <c r="G796" s="31">
        <v>0</v>
      </c>
      <c r="H796" s="31">
        <v>0</v>
      </c>
      <c r="I796" s="31">
        <v>1</v>
      </c>
      <c r="J796" s="31">
        <f t="shared" si="48"/>
        <v>1</v>
      </c>
      <c r="K796" s="28">
        <v>478000</v>
      </c>
      <c r="L796" s="29">
        <v>0.81</v>
      </c>
      <c r="M796" s="31">
        <f t="shared" si="49"/>
        <v>387180</v>
      </c>
      <c r="N796" s="28">
        <f t="shared" si="47"/>
        <v>90819.999999999971</v>
      </c>
      <c r="O796" s="28">
        <v>239000</v>
      </c>
    </row>
    <row r="797" spans="1:15" x14ac:dyDescent="0.35">
      <c r="A797">
        <v>736220001</v>
      </c>
      <c r="B797" t="s">
        <v>1068</v>
      </c>
      <c r="C797" t="s">
        <v>89</v>
      </c>
      <c r="D797" t="s">
        <v>29</v>
      </c>
      <c r="E797" s="30" t="s">
        <v>14</v>
      </c>
      <c r="F797" s="31">
        <v>0</v>
      </c>
      <c r="G797" s="31">
        <v>0</v>
      </c>
      <c r="H797" s="31">
        <v>0</v>
      </c>
      <c r="I797" s="31">
        <v>1</v>
      </c>
      <c r="J797" s="31">
        <f t="shared" si="48"/>
        <v>1</v>
      </c>
      <c r="K797" s="28">
        <v>328000</v>
      </c>
      <c r="L797" s="29">
        <v>0.81</v>
      </c>
      <c r="M797" s="31">
        <f t="shared" si="49"/>
        <v>265680</v>
      </c>
      <c r="N797" s="28">
        <f t="shared" si="47"/>
        <v>62319.999999999985</v>
      </c>
      <c r="O797" s="28">
        <v>164000</v>
      </c>
    </row>
    <row r="798" spans="1:15" x14ac:dyDescent="0.35">
      <c r="A798">
        <v>737976001</v>
      </c>
      <c r="B798" t="s">
        <v>1069</v>
      </c>
      <c r="C798" t="s">
        <v>89</v>
      </c>
      <c r="D798" t="s">
        <v>29</v>
      </c>
      <c r="E798" s="30" t="s">
        <v>14</v>
      </c>
      <c r="F798" s="31">
        <v>0</v>
      </c>
      <c r="G798" s="31">
        <v>0</v>
      </c>
      <c r="H798" s="31">
        <v>0</v>
      </c>
      <c r="I798" s="31">
        <v>1</v>
      </c>
      <c r="J798" s="31">
        <f t="shared" si="48"/>
        <v>1</v>
      </c>
      <c r="K798" s="28">
        <v>598000</v>
      </c>
      <c r="L798" s="29">
        <v>0.81</v>
      </c>
      <c r="M798" s="31">
        <f t="shared" si="49"/>
        <v>484380.00000000006</v>
      </c>
      <c r="N798" s="28">
        <f t="shared" si="47"/>
        <v>113619.99999999997</v>
      </c>
      <c r="O798" s="28">
        <v>299000</v>
      </c>
    </row>
    <row r="799" spans="1:15" x14ac:dyDescent="0.35">
      <c r="A799">
        <v>737976010</v>
      </c>
      <c r="B799" t="s">
        <v>1072</v>
      </c>
      <c r="C799" t="s">
        <v>89</v>
      </c>
      <c r="D799" t="s">
        <v>29</v>
      </c>
      <c r="E799" s="30" t="s">
        <v>14</v>
      </c>
      <c r="F799" s="31">
        <v>0</v>
      </c>
      <c r="G799" s="31">
        <v>0</v>
      </c>
      <c r="H799" s="31">
        <v>0</v>
      </c>
      <c r="I799" s="31">
        <v>1</v>
      </c>
      <c r="J799" s="31">
        <f t="shared" si="48"/>
        <v>1</v>
      </c>
      <c r="K799" s="28">
        <v>598000</v>
      </c>
      <c r="L799" s="29">
        <v>0.81</v>
      </c>
      <c r="M799" s="31">
        <f t="shared" si="49"/>
        <v>484380.00000000006</v>
      </c>
      <c r="N799" s="28">
        <f t="shared" si="47"/>
        <v>113619.99999999997</v>
      </c>
      <c r="O799" s="28">
        <v>299000</v>
      </c>
    </row>
    <row r="800" spans="1:15" x14ac:dyDescent="0.35">
      <c r="A800">
        <v>737976015</v>
      </c>
      <c r="B800" t="s">
        <v>1073</v>
      </c>
      <c r="C800" t="s">
        <v>89</v>
      </c>
      <c r="D800" t="s">
        <v>29</v>
      </c>
      <c r="E800" s="30" t="s">
        <v>14</v>
      </c>
      <c r="F800" s="31">
        <v>0</v>
      </c>
      <c r="G800" s="31">
        <v>0</v>
      </c>
      <c r="H800" s="31">
        <v>0</v>
      </c>
      <c r="I800" s="31">
        <v>2</v>
      </c>
      <c r="J800" s="31">
        <f t="shared" si="48"/>
        <v>2</v>
      </c>
      <c r="K800" s="28">
        <v>598000</v>
      </c>
      <c r="L800" s="29">
        <v>0.81</v>
      </c>
      <c r="M800" s="31">
        <f t="shared" si="49"/>
        <v>484380.00000000006</v>
      </c>
      <c r="N800" s="28">
        <f t="shared" si="47"/>
        <v>113619.99999999997</v>
      </c>
      <c r="O800" s="28">
        <v>299000</v>
      </c>
    </row>
    <row r="801" spans="1:15" x14ac:dyDescent="0.35">
      <c r="A801">
        <v>737977015</v>
      </c>
      <c r="B801" t="s">
        <v>1079</v>
      </c>
      <c r="C801" t="s">
        <v>89</v>
      </c>
      <c r="D801" t="s">
        <v>29</v>
      </c>
      <c r="E801" s="30" t="s">
        <v>14</v>
      </c>
      <c r="F801" s="31">
        <v>0</v>
      </c>
      <c r="G801" s="31">
        <v>0</v>
      </c>
      <c r="H801" s="31">
        <v>0</v>
      </c>
      <c r="I801" s="31">
        <v>1</v>
      </c>
      <c r="J801" s="31">
        <f t="shared" si="48"/>
        <v>1</v>
      </c>
      <c r="K801" s="28">
        <v>648000</v>
      </c>
      <c r="L801" s="29">
        <v>0.81</v>
      </c>
      <c r="M801" s="31">
        <f t="shared" si="49"/>
        <v>524880</v>
      </c>
      <c r="N801" s="28">
        <f t="shared" si="47"/>
        <v>123119.99999999997</v>
      </c>
      <c r="O801" s="28">
        <v>324000</v>
      </c>
    </row>
    <row r="802" spans="1:15" x14ac:dyDescent="0.35">
      <c r="A802">
        <v>737977016</v>
      </c>
      <c r="B802" t="s">
        <v>1080</v>
      </c>
      <c r="C802" t="s">
        <v>89</v>
      </c>
      <c r="D802" t="s">
        <v>29</v>
      </c>
      <c r="E802" s="30" t="s">
        <v>14</v>
      </c>
      <c r="F802" s="31">
        <v>0</v>
      </c>
      <c r="G802" s="31">
        <v>0</v>
      </c>
      <c r="H802" s="31">
        <v>0</v>
      </c>
      <c r="I802" s="31">
        <v>1</v>
      </c>
      <c r="J802" s="31">
        <f t="shared" si="48"/>
        <v>1</v>
      </c>
      <c r="K802" s="28">
        <v>648000</v>
      </c>
      <c r="L802" s="29">
        <v>0.81</v>
      </c>
      <c r="M802" s="31">
        <f t="shared" si="49"/>
        <v>524880</v>
      </c>
      <c r="N802" s="28">
        <f t="shared" si="47"/>
        <v>123119.99999999997</v>
      </c>
      <c r="O802" s="28">
        <v>324000</v>
      </c>
    </row>
    <row r="803" spans="1:15" x14ac:dyDescent="0.35">
      <c r="A803">
        <v>709557001</v>
      </c>
      <c r="B803" t="s">
        <v>400</v>
      </c>
      <c r="C803" t="s">
        <v>371</v>
      </c>
      <c r="D803" t="s">
        <v>401</v>
      </c>
      <c r="E803" s="30" t="s">
        <v>14</v>
      </c>
      <c r="F803" s="31">
        <v>0</v>
      </c>
      <c r="G803" s="31">
        <v>0</v>
      </c>
      <c r="H803" s="31">
        <v>0</v>
      </c>
      <c r="I803" s="31">
        <v>1</v>
      </c>
      <c r="J803" s="31">
        <f t="shared" si="48"/>
        <v>1</v>
      </c>
      <c r="K803" s="28">
        <v>248000</v>
      </c>
      <c r="L803" s="29">
        <v>0.81</v>
      </c>
      <c r="M803" s="31">
        <f t="shared" si="49"/>
        <v>200880</v>
      </c>
      <c r="N803" s="28">
        <f t="shared" si="47"/>
        <v>47119.999999999985</v>
      </c>
    </row>
    <row r="804" spans="1:15" x14ac:dyDescent="0.35">
      <c r="A804">
        <v>715153001</v>
      </c>
      <c r="B804" t="s">
        <v>402</v>
      </c>
      <c r="C804" t="s">
        <v>371</v>
      </c>
      <c r="D804" t="s">
        <v>401</v>
      </c>
      <c r="E804" s="30" t="s">
        <v>14</v>
      </c>
      <c r="F804" s="31">
        <v>0</v>
      </c>
      <c r="G804" s="31">
        <v>0</v>
      </c>
      <c r="H804" s="31">
        <v>0</v>
      </c>
      <c r="I804" s="31">
        <v>15</v>
      </c>
      <c r="J804" s="31">
        <f t="shared" si="48"/>
        <v>15</v>
      </c>
      <c r="K804" s="28">
        <v>198000</v>
      </c>
      <c r="L804" s="29">
        <v>0.45</v>
      </c>
      <c r="M804" s="31">
        <f t="shared" si="49"/>
        <v>89100</v>
      </c>
      <c r="N804" s="28">
        <f t="shared" si="47"/>
        <v>108900.00000000001</v>
      </c>
    </row>
    <row r="805" spans="1:15" x14ac:dyDescent="0.35">
      <c r="A805">
        <v>715154001</v>
      </c>
      <c r="B805" t="s">
        <v>403</v>
      </c>
      <c r="C805" t="s">
        <v>371</v>
      </c>
      <c r="D805" t="s">
        <v>401</v>
      </c>
      <c r="E805" s="30" t="s">
        <v>14</v>
      </c>
      <c r="F805" s="31">
        <v>0</v>
      </c>
      <c r="G805" s="31">
        <v>0</v>
      </c>
      <c r="H805" s="31">
        <v>0</v>
      </c>
      <c r="I805" s="31">
        <v>4</v>
      </c>
      <c r="J805" s="31">
        <f t="shared" si="48"/>
        <v>4</v>
      </c>
      <c r="K805" s="28">
        <v>148000</v>
      </c>
      <c r="L805" s="29">
        <v>0.81</v>
      </c>
      <c r="M805" s="31">
        <f t="shared" si="49"/>
        <v>119880.00000000001</v>
      </c>
      <c r="N805" s="28">
        <f t="shared" si="47"/>
        <v>28119.999999999993</v>
      </c>
    </row>
    <row r="806" spans="1:15" x14ac:dyDescent="0.35">
      <c r="A806">
        <v>715158001</v>
      </c>
      <c r="B806" t="s">
        <v>404</v>
      </c>
      <c r="C806" t="s">
        <v>371</v>
      </c>
      <c r="D806" t="s">
        <v>401</v>
      </c>
      <c r="E806" s="30" t="s">
        <v>14</v>
      </c>
      <c r="F806" s="31">
        <v>0</v>
      </c>
      <c r="G806" s="31">
        <v>0</v>
      </c>
      <c r="H806" s="31">
        <v>0</v>
      </c>
      <c r="I806" s="31">
        <v>1</v>
      </c>
      <c r="J806" s="31">
        <f t="shared" si="48"/>
        <v>1</v>
      </c>
      <c r="K806" s="28">
        <v>378000</v>
      </c>
      <c r="L806" s="29">
        <v>0.81</v>
      </c>
      <c r="M806" s="31">
        <f t="shared" si="49"/>
        <v>306180</v>
      </c>
      <c r="N806" s="28">
        <f t="shared" si="47"/>
        <v>71819.999999999985</v>
      </c>
    </row>
    <row r="807" spans="1:15" x14ac:dyDescent="0.35">
      <c r="A807">
        <v>715159001</v>
      </c>
      <c r="B807" t="s">
        <v>405</v>
      </c>
      <c r="C807" t="s">
        <v>371</v>
      </c>
      <c r="D807" t="s">
        <v>401</v>
      </c>
      <c r="E807" s="30" t="s">
        <v>14</v>
      </c>
      <c r="F807" s="31">
        <v>0</v>
      </c>
      <c r="G807" s="31">
        <v>0</v>
      </c>
      <c r="H807" s="31">
        <v>0</v>
      </c>
      <c r="I807" s="31">
        <v>1</v>
      </c>
      <c r="J807" s="31">
        <f t="shared" si="48"/>
        <v>1</v>
      </c>
      <c r="K807" s="28">
        <v>228000</v>
      </c>
      <c r="L807" s="29">
        <v>0.81</v>
      </c>
      <c r="M807" s="31">
        <f t="shared" si="49"/>
        <v>184680</v>
      </c>
      <c r="N807" s="28">
        <f t="shared" si="47"/>
        <v>43319.999999999985</v>
      </c>
    </row>
    <row r="808" spans="1:15" x14ac:dyDescent="0.35">
      <c r="A808">
        <v>721647001</v>
      </c>
      <c r="B808" t="s">
        <v>406</v>
      </c>
      <c r="C808" t="s">
        <v>371</v>
      </c>
      <c r="D808" t="s">
        <v>401</v>
      </c>
      <c r="E808" s="30" t="s">
        <v>14</v>
      </c>
      <c r="F808" s="31">
        <v>0</v>
      </c>
      <c r="G808" s="31">
        <v>0</v>
      </c>
      <c r="H808" s="31">
        <v>0</v>
      </c>
      <c r="I808" s="31">
        <v>29</v>
      </c>
      <c r="J808" s="31">
        <f t="shared" si="48"/>
        <v>29</v>
      </c>
      <c r="K808" s="28">
        <v>24000</v>
      </c>
      <c r="L808" s="29">
        <v>0.81</v>
      </c>
      <c r="M808" s="31">
        <f t="shared" si="49"/>
        <v>19440</v>
      </c>
      <c r="N808" s="28">
        <f t="shared" si="47"/>
        <v>4559.9999999999991</v>
      </c>
    </row>
    <row r="809" spans="1:15" x14ac:dyDescent="0.35">
      <c r="A809">
        <v>722565001</v>
      </c>
      <c r="B809" t="s">
        <v>407</v>
      </c>
      <c r="C809" t="s">
        <v>371</v>
      </c>
      <c r="D809" t="s">
        <v>401</v>
      </c>
      <c r="E809" s="30" t="s">
        <v>14</v>
      </c>
      <c r="F809" s="31">
        <v>0</v>
      </c>
      <c r="G809" s="31">
        <v>0</v>
      </c>
      <c r="H809" s="31">
        <v>0</v>
      </c>
      <c r="I809" s="31">
        <v>38</v>
      </c>
      <c r="J809" s="31">
        <f t="shared" si="48"/>
        <v>38</v>
      </c>
      <c r="K809" s="28">
        <v>248000</v>
      </c>
      <c r="L809" s="29">
        <v>0.45</v>
      </c>
      <c r="M809" s="31">
        <f t="shared" si="49"/>
        <v>111600</v>
      </c>
      <c r="N809" s="28">
        <f t="shared" si="47"/>
        <v>136400</v>
      </c>
    </row>
    <row r="810" spans="1:15" x14ac:dyDescent="0.35">
      <c r="A810">
        <v>725349001</v>
      </c>
      <c r="B810" t="s">
        <v>408</v>
      </c>
      <c r="C810" t="s">
        <v>371</v>
      </c>
      <c r="D810" t="s">
        <v>401</v>
      </c>
      <c r="E810" s="30" t="s">
        <v>14</v>
      </c>
      <c r="F810" s="31">
        <v>0</v>
      </c>
      <c r="G810" s="31">
        <v>0</v>
      </c>
      <c r="H810" s="31">
        <v>0</v>
      </c>
      <c r="I810" s="31">
        <v>19</v>
      </c>
      <c r="J810" s="31">
        <f t="shared" si="48"/>
        <v>19</v>
      </c>
      <c r="K810" s="28">
        <v>498000</v>
      </c>
      <c r="L810" s="29">
        <v>0.45</v>
      </c>
      <c r="M810" s="31">
        <f t="shared" si="49"/>
        <v>224100</v>
      </c>
      <c r="N810" s="28">
        <f t="shared" si="47"/>
        <v>273900</v>
      </c>
    </row>
    <row r="811" spans="1:15" x14ac:dyDescent="0.35">
      <c r="A811">
        <v>726925001</v>
      </c>
      <c r="B811" t="s">
        <v>409</v>
      </c>
      <c r="C811" t="s">
        <v>371</v>
      </c>
      <c r="D811" t="s">
        <v>401</v>
      </c>
      <c r="E811" s="30" t="s">
        <v>14</v>
      </c>
      <c r="F811" s="31">
        <v>0</v>
      </c>
      <c r="G811" s="31">
        <v>0</v>
      </c>
      <c r="H811" s="31">
        <v>0</v>
      </c>
      <c r="I811" s="31">
        <v>36</v>
      </c>
      <c r="J811" s="31">
        <f t="shared" si="48"/>
        <v>36</v>
      </c>
      <c r="K811" s="28">
        <v>598000</v>
      </c>
      <c r="L811" s="29">
        <v>0.45</v>
      </c>
      <c r="M811" s="31">
        <f t="shared" si="49"/>
        <v>269100</v>
      </c>
      <c r="N811" s="28">
        <f t="shared" si="47"/>
        <v>328900</v>
      </c>
    </row>
    <row r="812" spans="1:15" x14ac:dyDescent="0.35">
      <c r="A812">
        <v>726933001</v>
      </c>
      <c r="B812" t="s">
        <v>410</v>
      </c>
      <c r="C812" t="s">
        <v>371</v>
      </c>
      <c r="D812" t="s">
        <v>401</v>
      </c>
      <c r="E812" s="30" t="s">
        <v>14</v>
      </c>
      <c r="F812" s="31">
        <v>0</v>
      </c>
      <c r="G812" s="31">
        <v>0</v>
      </c>
      <c r="H812" s="31">
        <v>0</v>
      </c>
      <c r="I812" s="31">
        <v>63</v>
      </c>
      <c r="J812" s="31">
        <f t="shared" si="48"/>
        <v>63</v>
      </c>
      <c r="K812" s="28">
        <v>448000</v>
      </c>
      <c r="L812" s="29">
        <v>0.45</v>
      </c>
      <c r="M812" s="31">
        <f t="shared" si="49"/>
        <v>201600</v>
      </c>
      <c r="N812" s="28">
        <f t="shared" si="47"/>
        <v>246400.00000000003</v>
      </c>
    </row>
    <row r="813" spans="1:15" x14ac:dyDescent="0.35">
      <c r="A813">
        <v>728901001</v>
      </c>
      <c r="B813" t="s">
        <v>411</v>
      </c>
      <c r="C813" t="s">
        <v>371</v>
      </c>
      <c r="D813" t="s">
        <v>401</v>
      </c>
      <c r="E813" s="30" t="s">
        <v>14</v>
      </c>
      <c r="F813" s="31">
        <v>0</v>
      </c>
      <c r="G813" s="31">
        <v>0</v>
      </c>
      <c r="H813" s="31">
        <v>0</v>
      </c>
      <c r="I813" s="31">
        <v>1</v>
      </c>
      <c r="J813" s="31">
        <f t="shared" si="48"/>
        <v>1</v>
      </c>
      <c r="K813" s="28">
        <v>998000</v>
      </c>
      <c r="L813" s="29">
        <v>0.81</v>
      </c>
      <c r="M813" s="31">
        <f t="shared" si="49"/>
        <v>808380</v>
      </c>
      <c r="N813" s="28">
        <f t="shared" si="47"/>
        <v>189619.99999999994</v>
      </c>
    </row>
    <row r="814" spans="1:15" x14ac:dyDescent="0.35">
      <c r="A814">
        <v>728903001</v>
      </c>
      <c r="B814" t="s">
        <v>412</v>
      </c>
      <c r="C814" t="s">
        <v>371</v>
      </c>
      <c r="D814" t="s">
        <v>401</v>
      </c>
      <c r="E814" s="30" t="s">
        <v>14</v>
      </c>
      <c r="F814" s="31">
        <v>0</v>
      </c>
      <c r="G814" s="31">
        <v>0</v>
      </c>
      <c r="H814" s="31">
        <v>0</v>
      </c>
      <c r="I814" s="31">
        <v>64</v>
      </c>
      <c r="J814" s="31">
        <f t="shared" si="48"/>
        <v>64</v>
      </c>
      <c r="K814" s="28">
        <v>598000</v>
      </c>
      <c r="L814" s="29">
        <v>0.45</v>
      </c>
      <c r="M814" s="31">
        <f t="shared" si="49"/>
        <v>269100</v>
      </c>
      <c r="N814" s="28">
        <f t="shared" si="47"/>
        <v>328900</v>
      </c>
    </row>
    <row r="815" spans="1:15" x14ac:dyDescent="0.35">
      <c r="A815">
        <v>731136001</v>
      </c>
      <c r="B815" t="s">
        <v>413</v>
      </c>
      <c r="C815" t="s">
        <v>371</v>
      </c>
      <c r="D815" t="s">
        <v>401</v>
      </c>
      <c r="E815" s="30" t="s">
        <v>14</v>
      </c>
      <c r="F815" s="31">
        <v>0</v>
      </c>
      <c r="G815" s="31">
        <v>0</v>
      </c>
      <c r="H815" s="31">
        <v>0</v>
      </c>
      <c r="I815" s="31">
        <v>5</v>
      </c>
      <c r="J815" s="31">
        <f t="shared" si="48"/>
        <v>5</v>
      </c>
      <c r="K815" s="28">
        <v>398000</v>
      </c>
      <c r="L815" s="29">
        <v>0.81</v>
      </c>
      <c r="M815" s="31">
        <f t="shared" si="49"/>
        <v>322380</v>
      </c>
      <c r="N815" s="28">
        <f t="shared" si="47"/>
        <v>75619.999999999985</v>
      </c>
    </row>
    <row r="816" spans="1:15" x14ac:dyDescent="0.35">
      <c r="A816">
        <v>733378001</v>
      </c>
      <c r="B816" t="s">
        <v>414</v>
      </c>
      <c r="C816" t="s">
        <v>371</v>
      </c>
      <c r="D816" t="s">
        <v>401</v>
      </c>
      <c r="E816" s="30" t="s">
        <v>14</v>
      </c>
      <c r="F816" s="31">
        <v>0</v>
      </c>
      <c r="G816" s="31">
        <v>0</v>
      </c>
      <c r="H816" s="31">
        <v>0</v>
      </c>
      <c r="I816" s="31">
        <v>10</v>
      </c>
      <c r="J816" s="31">
        <f t="shared" si="48"/>
        <v>10</v>
      </c>
      <c r="K816" s="28">
        <v>198000</v>
      </c>
      <c r="L816" s="29">
        <v>0.45</v>
      </c>
      <c r="M816" s="31">
        <f t="shared" si="49"/>
        <v>89100</v>
      </c>
      <c r="N816" s="28">
        <f t="shared" si="47"/>
        <v>108900.00000000001</v>
      </c>
    </row>
    <row r="817" spans="1:15" x14ac:dyDescent="0.35">
      <c r="A817">
        <v>726124001</v>
      </c>
      <c r="B817" t="s">
        <v>1081</v>
      </c>
      <c r="C817" t="s">
        <v>391</v>
      </c>
      <c r="D817" t="s">
        <v>401</v>
      </c>
      <c r="E817" s="30" t="s">
        <v>14</v>
      </c>
      <c r="F817" s="31">
        <v>0</v>
      </c>
      <c r="G817" s="31">
        <v>0</v>
      </c>
      <c r="H817" s="31">
        <v>0</v>
      </c>
      <c r="I817" s="31">
        <v>2</v>
      </c>
      <c r="J817" s="31">
        <f t="shared" si="48"/>
        <v>2</v>
      </c>
      <c r="K817" s="28">
        <v>448000</v>
      </c>
      <c r="L817" s="29">
        <v>0.81</v>
      </c>
      <c r="M817" s="31">
        <f t="shared" si="49"/>
        <v>362880</v>
      </c>
      <c r="N817" s="28">
        <f t="shared" si="47"/>
        <v>85119.999999999971</v>
      </c>
      <c r="O817" s="28">
        <v>224000</v>
      </c>
    </row>
    <row r="818" spans="1:15" x14ac:dyDescent="0.35">
      <c r="A818">
        <v>727309001</v>
      </c>
      <c r="B818" t="s">
        <v>1082</v>
      </c>
      <c r="C818" t="s">
        <v>368</v>
      </c>
      <c r="D818" t="s">
        <v>401</v>
      </c>
      <c r="E818" s="30" t="s">
        <v>14</v>
      </c>
      <c r="F818" s="31">
        <v>0</v>
      </c>
      <c r="G818" s="31">
        <v>0</v>
      </c>
      <c r="H818" s="31">
        <v>0</v>
      </c>
      <c r="I818" s="31">
        <v>125</v>
      </c>
      <c r="J818" s="31">
        <f t="shared" si="48"/>
        <v>125</v>
      </c>
      <c r="K818" s="28">
        <v>158000</v>
      </c>
      <c r="L818" s="29">
        <v>0.81</v>
      </c>
      <c r="M818" s="31">
        <f t="shared" si="49"/>
        <v>127980.00000000001</v>
      </c>
      <c r="N818" s="28">
        <f t="shared" si="47"/>
        <v>30019.999999999993</v>
      </c>
      <c r="O818" s="28">
        <v>79000</v>
      </c>
    </row>
    <row r="819" spans="1:15" x14ac:dyDescent="0.35">
      <c r="A819">
        <v>727310001</v>
      </c>
      <c r="B819" t="s">
        <v>1083</v>
      </c>
      <c r="C819" t="s">
        <v>368</v>
      </c>
      <c r="D819" t="s">
        <v>401</v>
      </c>
      <c r="E819" s="30" t="s">
        <v>14</v>
      </c>
      <c r="F819" s="31">
        <v>0</v>
      </c>
      <c r="G819" s="31">
        <v>0</v>
      </c>
      <c r="H819" s="31">
        <v>0</v>
      </c>
      <c r="I819" s="31">
        <v>6</v>
      </c>
      <c r="J819" s="31">
        <f t="shared" si="48"/>
        <v>6</v>
      </c>
      <c r="K819" s="28">
        <v>178000</v>
      </c>
      <c r="L819" s="29">
        <v>0.81</v>
      </c>
      <c r="M819" s="31">
        <f t="shared" si="49"/>
        <v>144180</v>
      </c>
      <c r="N819" s="28">
        <f t="shared" si="47"/>
        <v>33819.999999999993</v>
      </c>
      <c r="O819" s="28">
        <v>89000</v>
      </c>
    </row>
    <row r="820" spans="1:15" x14ac:dyDescent="0.35">
      <c r="A820">
        <v>727996001</v>
      </c>
      <c r="B820" t="s">
        <v>1084</v>
      </c>
      <c r="C820" t="s">
        <v>368</v>
      </c>
      <c r="D820" t="s">
        <v>401</v>
      </c>
      <c r="E820" s="30" t="s">
        <v>14</v>
      </c>
      <c r="F820" s="31">
        <v>0</v>
      </c>
      <c r="G820" s="31">
        <v>0</v>
      </c>
      <c r="H820" s="31">
        <v>0</v>
      </c>
      <c r="I820" s="31">
        <v>23</v>
      </c>
      <c r="J820" s="31">
        <f t="shared" si="48"/>
        <v>23</v>
      </c>
      <c r="K820" s="28">
        <v>74000</v>
      </c>
      <c r="L820" s="29">
        <v>0.81</v>
      </c>
      <c r="M820" s="31">
        <f t="shared" si="49"/>
        <v>59940.000000000007</v>
      </c>
      <c r="N820" s="28">
        <f t="shared" si="47"/>
        <v>14059.999999999996</v>
      </c>
      <c r="O820" s="28">
        <v>54000</v>
      </c>
    </row>
    <row r="821" spans="1:15" x14ac:dyDescent="0.35">
      <c r="A821">
        <v>739722001</v>
      </c>
      <c r="B821" t="s">
        <v>1923</v>
      </c>
      <c r="C821" t="s">
        <v>368</v>
      </c>
      <c r="D821" t="s">
        <v>401</v>
      </c>
      <c r="E821" s="30" t="s">
        <v>14</v>
      </c>
      <c r="F821" s="31">
        <v>0</v>
      </c>
      <c r="G821" s="31">
        <v>0</v>
      </c>
      <c r="H821" s="31">
        <v>0</v>
      </c>
      <c r="I821" s="31">
        <v>8</v>
      </c>
      <c r="J821" s="31">
        <f t="shared" si="48"/>
        <v>8</v>
      </c>
      <c r="K821" s="28">
        <v>248000</v>
      </c>
      <c r="L821" s="29">
        <v>0.45</v>
      </c>
      <c r="M821" s="31">
        <f t="shared" si="49"/>
        <v>111600</v>
      </c>
      <c r="N821" s="28">
        <f t="shared" si="47"/>
        <v>136400</v>
      </c>
    </row>
    <row r="822" spans="1:15" x14ac:dyDescent="0.35">
      <c r="A822">
        <v>727979001</v>
      </c>
      <c r="B822" t="s">
        <v>1086</v>
      </c>
      <c r="C822" t="s">
        <v>368</v>
      </c>
      <c r="D822" t="s">
        <v>249</v>
      </c>
      <c r="E822" s="30" t="s">
        <v>14</v>
      </c>
      <c r="F822" s="31">
        <v>0</v>
      </c>
      <c r="G822" s="31">
        <v>0</v>
      </c>
      <c r="H822" s="31">
        <v>0</v>
      </c>
      <c r="I822" s="31">
        <v>17</v>
      </c>
      <c r="J822" s="31">
        <f t="shared" si="48"/>
        <v>17</v>
      </c>
      <c r="K822" s="28">
        <v>168000</v>
      </c>
      <c r="L822" s="29">
        <v>0.81</v>
      </c>
      <c r="M822" s="31">
        <f t="shared" si="49"/>
        <v>136080</v>
      </c>
      <c r="N822" s="28">
        <f t="shared" si="47"/>
        <v>31919.999999999993</v>
      </c>
      <c r="O822" s="28">
        <v>84000</v>
      </c>
    </row>
    <row r="823" spans="1:15" x14ac:dyDescent="0.35">
      <c r="A823">
        <v>727979002</v>
      </c>
      <c r="B823" t="s">
        <v>1087</v>
      </c>
      <c r="C823" t="s">
        <v>368</v>
      </c>
      <c r="D823" t="s">
        <v>249</v>
      </c>
      <c r="E823" s="30" t="s">
        <v>14</v>
      </c>
      <c r="F823" s="31">
        <v>0</v>
      </c>
      <c r="G823" s="31">
        <v>0</v>
      </c>
      <c r="H823" s="31">
        <v>0</v>
      </c>
      <c r="I823" s="31">
        <v>8</v>
      </c>
      <c r="J823" s="31">
        <f t="shared" si="48"/>
        <v>8</v>
      </c>
      <c r="K823" s="28">
        <v>168000</v>
      </c>
      <c r="L823" s="29">
        <v>0.81</v>
      </c>
      <c r="M823" s="31">
        <f t="shared" si="49"/>
        <v>136080</v>
      </c>
      <c r="N823" s="28">
        <f t="shared" si="47"/>
        <v>31919.999999999993</v>
      </c>
      <c r="O823" s="28">
        <v>84000</v>
      </c>
    </row>
    <row r="824" spans="1:15" x14ac:dyDescent="0.35">
      <c r="A824">
        <v>727979003</v>
      </c>
      <c r="B824" t="s">
        <v>1088</v>
      </c>
      <c r="C824" t="s">
        <v>368</v>
      </c>
      <c r="D824" t="s">
        <v>249</v>
      </c>
      <c r="E824" s="30" t="s">
        <v>14</v>
      </c>
      <c r="F824" s="31">
        <v>0</v>
      </c>
      <c r="G824" s="31">
        <v>0</v>
      </c>
      <c r="H824" s="31">
        <v>0</v>
      </c>
      <c r="I824" s="31">
        <v>15</v>
      </c>
      <c r="J824" s="31">
        <f t="shared" si="48"/>
        <v>15</v>
      </c>
      <c r="K824" s="28">
        <v>168000</v>
      </c>
      <c r="L824" s="29">
        <v>0.81</v>
      </c>
      <c r="M824" s="31">
        <f t="shared" si="49"/>
        <v>136080</v>
      </c>
      <c r="N824" s="28">
        <f t="shared" si="47"/>
        <v>31919.999999999993</v>
      </c>
      <c r="O824" s="28">
        <v>84000</v>
      </c>
    </row>
    <row r="825" spans="1:15" x14ac:dyDescent="0.35">
      <c r="A825">
        <v>727979004</v>
      </c>
      <c r="B825" t="s">
        <v>1089</v>
      </c>
      <c r="C825" t="s">
        <v>368</v>
      </c>
      <c r="D825" t="s">
        <v>249</v>
      </c>
      <c r="E825" s="30" t="s">
        <v>14</v>
      </c>
      <c r="F825" s="31">
        <v>0</v>
      </c>
      <c r="G825" s="31">
        <v>0</v>
      </c>
      <c r="H825" s="31">
        <v>0</v>
      </c>
      <c r="I825" s="31">
        <v>66</v>
      </c>
      <c r="J825" s="31">
        <f t="shared" si="48"/>
        <v>66</v>
      </c>
      <c r="K825" s="28">
        <v>168000</v>
      </c>
      <c r="L825" s="29">
        <v>0.81</v>
      </c>
      <c r="M825" s="31">
        <f t="shared" si="49"/>
        <v>136080</v>
      </c>
      <c r="N825" s="28">
        <f t="shared" si="47"/>
        <v>31919.999999999993</v>
      </c>
      <c r="O825" s="28">
        <v>84000</v>
      </c>
    </row>
    <row r="826" spans="1:15" x14ac:dyDescent="0.35">
      <c r="A826">
        <v>730523001</v>
      </c>
      <c r="B826" t="s">
        <v>248</v>
      </c>
      <c r="C826" t="s">
        <v>92</v>
      </c>
      <c r="D826" t="s">
        <v>249</v>
      </c>
      <c r="E826" s="30" t="s">
        <v>14</v>
      </c>
      <c r="F826" s="31">
        <v>0</v>
      </c>
      <c r="G826" s="31">
        <v>0</v>
      </c>
      <c r="H826" s="31">
        <v>0</v>
      </c>
      <c r="I826" s="31">
        <v>6</v>
      </c>
      <c r="J826" s="31">
        <f t="shared" si="48"/>
        <v>6</v>
      </c>
      <c r="K826" s="28">
        <v>498000</v>
      </c>
      <c r="L826" s="29">
        <v>0.45</v>
      </c>
      <c r="M826" s="31">
        <f t="shared" si="49"/>
        <v>224100</v>
      </c>
      <c r="N826" s="28">
        <f t="shared" si="47"/>
        <v>273900</v>
      </c>
      <c r="O826" s="28">
        <v>398400</v>
      </c>
    </row>
    <row r="827" spans="1:15" x14ac:dyDescent="0.35">
      <c r="A827">
        <v>730523002</v>
      </c>
      <c r="B827" t="s">
        <v>250</v>
      </c>
      <c r="C827" t="s">
        <v>92</v>
      </c>
      <c r="D827" t="s">
        <v>249</v>
      </c>
      <c r="E827" s="30" t="s">
        <v>14</v>
      </c>
      <c r="F827" s="31">
        <v>0</v>
      </c>
      <c r="G827" s="31">
        <v>0</v>
      </c>
      <c r="H827" s="31">
        <v>0</v>
      </c>
      <c r="I827" s="31">
        <v>4</v>
      </c>
      <c r="J827" s="31">
        <f t="shared" si="48"/>
        <v>4</v>
      </c>
      <c r="K827" s="28">
        <v>498000</v>
      </c>
      <c r="L827" s="29">
        <v>0.45</v>
      </c>
      <c r="M827" s="31">
        <f t="shared" si="49"/>
        <v>224100</v>
      </c>
      <c r="N827" s="28">
        <f t="shared" si="47"/>
        <v>273900</v>
      </c>
      <c r="O827" s="28">
        <v>398400</v>
      </c>
    </row>
    <row r="828" spans="1:15" x14ac:dyDescent="0.35">
      <c r="A828">
        <v>730523003</v>
      </c>
      <c r="B828" t="s">
        <v>251</v>
      </c>
      <c r="C828" t="s">
        <v>92</v>
      </c>
      <c r="D828" t="s">
        <v>249</v>
      </c>
      <c r="E828" s="30" t="s">
        <v>14</v>
      </c>
      <c r="F828" s="31">
        <v>0</v>
      </c>
      <c r="G828" s="31">
        <v>0</v>
      </c>
      <c r="H828" s="31">
        <v>0</v>
      </c>
      <c r="I828" s="31">
        <v>2</v>
      </c>
      <c r="J828" s="31">
        <f t="shared" si="48"/>
        <v>2</v>
      </c>
      <c r="K828" s="28">
        <v>498000</v>
      </c>
      <c r="L828" s="29">
        <v>0.45</v>
      </c>
      <c r="M828" s="31">
        <f t="shared" si="49"/>
        <v>224100</v>
      </c>
      <c r="N828" s="28">
        <f t="shared" si="47"/>
        <v>273900</v>
      </c>
      <c r="O828" s="28">
        <v>398400</v>
      </c>
    </row>
    <row r="829" spans="1:15" x14ac:dyDescent="0.35">
      <c r="A829">
        <v>724200004</v>
      </c>
      <c r="B829" t="s">
        <v>1924</v>
      </c>
      <c r="C829" t="s">
        <v>63</v>
      </c>
      <c r="D829" t="s">
        <v>1091</v>
      </c>
      <c r="E829" s="30" t="s">
        <v>14</v>
      </c>
      <c r="F829" s="31">
        <v>0</v>
      </c>
      <c r="G829" s="31">
        <v>0</v>
      </c>
      <c r="H829" s="31">
        <v>0</v>
      </c>
      <c r="I829" s="31">
        <v>3</v>
      </c>
      <c r="J829" s="31">
        <f t="shared" si="48"/>
        <v>3</v>
      </c>
      <c r="K829" s="28">
        <v>198000</v>
      </c>
      <c r="L829" s="29">
        <v>0.81</v>
      </c>
      <c r="M829" s="31">
        <f t="shared" si="49"/>
        <v>160380</v>
      </c>
      <c r="N829" s="28">
        <f t="shared" si="47"/>
        <v>37619.999999999993</v>
      </c>
    </row>
    <row r="830" spans="1:15" x14ac:dyDescent="0.35">
      <c r="A830">
        <v>724456001</v>
      </c>
      <c r="B830" t="s">
        <v>1090</v>
      </c>
      <c r="C830" t="s">
        <v>63</v>
      </c>
      <c r="D830" t="s">
        <v>1091</v>
      </c>
      <c r="E830" s="30" t="s">
        <v>14</v>
      </c>
      <c r="F830" s="31">
        <v>0</v>
      </c>
      <c r="G830" s="31">
        <v>0</v>
      </c>
      <c r="H830" s="31">
        <v>0</v>
      </c>
      <c r="I830" s="31">
        <v>1</v>
      </c>
      <c r="J830" s="31">
        <f t="shared" si="48"/>
        <v>1</v>
      </c>
      <c r="K830" s="28">
        <v>298000</v>
      </c>
      <c r="L830" s="29">
        <v>0.81</v>
      </c>
      <c r="M830" s="31">
        <f t="shared" si="49"/>
        <v>241380.00000000003</v>
      </c>
      <c r="N830" s="28">
        <f t="shared" si="47"/>
        <v>56619.999999999985</v>
      </c>
      <c r="O830" s="28">
        <v>238400</v>
      </c>
    </row>
    <row r="831" spans="1:15" x14ac:dyDescent="0.35">
      <c r="A831">
        <v>725715001</v>
      </c>
      <c r="B831" t="s">
        <v>1925</v>
      </c>
      <c r="C831" t="s">
        <v>63</v>
      </c>
      <c r="D831" t="s">
        <v>1091</v>
      </c>
      <c r="E831" s="30" t="s">
        <v>14</v>
      </c>
      <c r="F831" s="31">
        <v>0</v>
      </c>
      <c r="G831" s="31">
        <v>0</v>
      </c>
      <c r="H831" s="31">
        <v>0</v>
      </c>
      <c r="I831" s="31">
        <v>1</v>
      </c>
      <c r="J831" s="31">
        <f t="shared" si="48"/>
        <v>1</v>
      </c>
      <c r="K831" s="28">
        <v>198000</v>
      </c>
      <c r="L831" s="29">
        <v>0.81</v>
      </c>
      <c r="M831" s="31">
        <f t="shared" si="49"/>
        <v>160380</v>
      </c>
      <c r="N831" s="28">
        <f t="shared" si="47"/>
        <v>37619.999999999993</v>
      </c>
    </row>
    <row r="832" spans="1:15" x14ac:dyDescent="0.35">
      <c r="A832">
        <v>725715004</v>
      </c>
      <c r="B832" t="s">
        <v>1926</v>
      </c>
      <c r="C832" t="s">
        <v>63</v>
      </c>
      <c r="D832" t="s">
        <v>1091</v>
      </c>
      <c r="E832" s="30" t="s">
        <v>14</v>
      </c>
      <c r="F832" s="31">
        <v>0</v>
      </c>
      <c r="G832" s="31">
        <v>0</v>
      </c>
      <c r="H832" s="31">
        <v>0</v>
      </c>
      <c r="I832" s="31">
        <v>3</v>
      </c>
      <c r="J832" s="31">
        <f t="shared" si="48"/>
        <v>3</v>
      </c>
      <c r="K832" s="28">
        <v>198000</v>
      </c>
      <c r="L832" s="29">
        <v>0.81</v>
      </c>
      <c r="M832" s="31">
        <f t="shared" si="49"/>
        <v>160380</v>
      </c>
      <c r="N832" s="28">
        <f t="shared" si="47"/>
        <v>37619.999999999993</v>
      </c>
    </row>
    <row r="833" spans="1:15" x14ac:dyDescent="0.35">
      <c r="A833">
        <v>726880001</v>
      </c>
      <c r="B833" t="s">
        <v>1092</v>
      </c>
      <c r="C833" t="s">
        <v>63</v>
      </c>
      <c r="D833" t="s">
        <v>1091</v>
      </c>
      <c r="E833" s="30" t="s">
        <v>14</v>
      </c>
      <c r="F833" s="31">
        <v>0</v>
      </c>
      <c r="G833" s="31">
        <v>0</v>
      </c>
      <c r="H833" s="31">
        <v>0</v>
      </c>
      <c r="I833" s="31">
        <v>1</v>
      </c>
      <c r="J833" s="31">
        <f t="shared" si="48"/>
        <v>1</v>
      </c>
      <c r="K833" s="28">
        <v>398000</v>
      </c>
      <c r="L833" s="29">
        <v>0.81</v>
      </c>
      <c r="M833" s="31">
        <f t="shared" si="49"/>
        <v>322380</v>
      </c>
      <c r="N833" s="28">
        <f t="shared" si="47"/>
        <v>75619.999999999985</v>
      </c>
      <c r="O833" s="28">
        <v>318400</v>
      </c>
    </row>
    <row r="834" spans="1:15" x14ac:dyDescent="0.35">
      <c r="A834">
        <v>722326001</v>
      </c>
      <c r="B834" t="s">
        <v>1927</v>
      </c>
      <c r="C834" t="s">
        <v>368</v>
      </c>
      <c r="D834" t="s">
        <v>1091</v>
      </c>
      <c r="E834" s="30" t="s">
        <v>14</v>
      </c>
      <c r="F834" s="31">
        <v>0</v>
      </c>
      <c r="G834" s="31">
        <v>6</v>
      </c>
      <c r="H834" s="31">
        <v>0</v>
      </c>
      <c r="I834" s="31">
        <v>3</v>
      </c>
      <c r="J834" s="31">
        <f t="shared" si="48"/>
        <v>9</v>
      </c>
      <c r="K834" s="28">
        <v>74000</v>
      </c>
      <c r="L834" s="29">
        <v>0.17</v>
      </c>
      <c r="M834" s="31">
        <f t="shared" si="49"/>
        <v>12580</v>
      </c>
      <c r="N834" s="28">
        <f t="shared" si="47"/>
        <v>61420</v>
      </c>
    </row>
    <row r="835" spans="1:15" x14ac:dyDescent="0.35">
      <c r="A835">
        <v>500011</v>
      </c>
      <c r="B835" t="s">
        <v>1928</v>
      </c>
      <c r="C835" t="s">
        <v>1929</v>
      </c>
      <c r="D835" t="s">
        <v>1094</v>
      </c>
      <c r="E835" s="30" t="s">
        <v>14</v>
      </c>
      <c r="F835" s="31">
        <v>0</v>
      </c>
      <c r="G835" s="31">
        <v>44</v>
      </c>
      <c r="H835" s="31">
        <v>4</v>
      </c>
      <c r="I835" s="31">
        <v>100</v>
      </c>
      <c r="J835" s="31">
        <f t="shared" si="48"/>
        <v>148</v>
      </c>
      <c r="K835" s="28">
        <v>228000</v>
      </c>
      <c r="L835" s="29">
        <v>0.17</v>
      </c>
      <c r="M835" s="31">
        <f t="shared" si="49"/>
        <v>38760</v>
      </c>
      <c r="N835" s="28">
        <f t="shared" ref="N835:N898" si="50">K835*(1-L835)</f>
        <v>189240</v>
      </c>
    </row>
    <row r="836" spans="1:15" x14ac:dyDescent="0.35">
      <c r="A836">
        <v>500028</v>
      </c>
      <c r="B836" t="s">
        <v>1930</v>
      </c>
      <c r="C836" t="s">
        <v>1929</v>
      </c>
      <c r="D836" t="s">
        <v>1094</v>
      </c>
      <c r="E836" s="30" t="s">
        <v>14</v>
      </c>
      <c r="F836" s="31">
        <v>0</v>
      </c>
      <c r="G836" s="31">
        <v>0</v>
      </c>
      <c r="H836" s="31">
        <v>1</v>
      </c>
      <c r="I836" s="31">
        <v>48</v>
      </c>
      <c r="J836" s="31">
        <f t="shared" ref="J836:J899" si="51">SUM(F836:I836)</f>
        <v>49</v>
      </c>
      <c r="K836" s="28">
        <v>228000</v>
      </c>
      <c r="L836" s="29">
        <v>0.17</v>
      </c>
      <c r="M836" s="31">
        <f t="shared" ref="M836:M899" si="52">K836*L836</f>
        <v>38760</v>
      </c>
      <c r="N836" s="28">
        <f t="shared" si="50"/>
        <v>189240</v>
      </c>
    </row>
    <row r="837" spans="1:15" x14ac:dyDescent="0.35">
      <c r="A837">
        <v>500036</v>
      </c>
      <c r="B837" t="s">
        <v>1931</v>
      </c>
      <c r="C837" t="s">
        <v>1929</v>
      </c>
      <c r="D837" t="s">
        <v>1094</v>
      </c>
      <c r="E837" s="30" t="s">
        <v>14</v>
      </c>
      <c r="F837" s="31">
        <v>0</v>
      </c>
      <c r="G837" s="31">
        <v>10</v>
      </c>
      <c r="H837" s="31">
        <v>9</v>
      </c>
      <c r="I837" s="31">
        <v>70</v>
      </c>
      <c r="J837" s="31">
        <f t="shared" si="51"/>
        <v>89</v>
      </c>
      <c r="K837" s="28">
        <v>228000</v>
      </c>
      <c r="L837" s="29">
        <v>0.17</v>
      </c>
      <c r="M837" s="31">
        <f t="shared" si="52"/>
        <v>38760</v>
      </c>
      <c r="N837" s="28">
        <f t="shared" si="50"/>
        <v>189240</v>
      </c>
    </row>
    <row r="838" spans="1:15" x14ac:dyDescent="0.35">
      <c r="A838">
        <v>500083</v>
      </c>
      <c r="B838" t="s">
        <v>1932</v>
      </c>
      <c r="C838" t="s">
        <v>1929</v>
      </c>
      <c r="D838" t="s">
        <v>1094</v>
      </c>
      <c r="E838" s="30" t="s">
        <v>14</v>
      </c>
      <c r="F838" s="31">
        <v>0</v>
      </c>
      <c r="G838" s="31">
        <v>0</v>
      </c>
      <c r="H838" s="31">
        <v>0</v>
      </c>
      <c r="I838" s="31">
        <v>31</v>
      </c>
      <c r="J838" s="31">
        <f t="shared" si="51"/>
        <v>31</v>
      </c>
      <c r="K838" s="28">
        <v>168000</v>
      </c>
      <c r="L838" s="29">
        <v>0.17</v>
      </c>
      <c r="M838" s="31">
        <f t="shared" si="52"/>
        <v>28560.000000000004</v>
      </c>
      <c r="N838" s="28">
        <f t="shared" si="50"/>
        <v>139440</v>
      </c>
    </row>
    <row r="839" spans="1:15" x14ac:dyDescent="0.35">
      <c r="A839">
        <v>500115</v>
      </c>
      <c r="B839" t="s">
        <v>1933</v>
      </c>
      <c r="C839" t="s">
        <v>1929</v>
      </c>
      <c r="D839" t="s">
        <v>1094</v>
      </c>
      <c r="E839" s="30" t="s">
        <v>14</v>
      </c>
      <c r="F839" s="31">
        <v>0</v>
      </c>
      <c r="G839" s="31">
        <v>0</v>
      </c>
      <c r="H839" s="31">
        <v>0</v>
      </c>
      <c r="I839" s="31">
        <v>3</v>
      </c>
      <c r="J839" s="31">
        <f t="shared" si="51"/>
        <v>3</v>
      </c>
      <c r="K839" s="28">
        <v>148000</v>
      </c>
      <c r="L839" s="29">
        <v>0.17</v>
      </c>
      <c r="M839" s="31">
        <f t="shared" si="52"/>
        <v>25160</v>
      </c>
      <c r="N839" s="28">
        <f t="shared" si="50"/>
        <v>122840</v>
      </c>
    </row>
    <row r="840" spans="1:15" x14ac:dyDescent="0.35">
      <c r="A840">
        <v>500163</v>
      </c>
      <c r="B840" t="s">
        <v>1934</v>
      </c>
      <c r="C840" t="s">
        <v>1929</v>
      </c>
      <c r="D840" t="s">
        <v>1094</v>
      </c>
      <c r="E840" s="30" t="s">
        <v>14</v>
      </c>
      <c r="F840" s="31">
        <v>145</v>
      </c>
      <c r="G840" s="31">
        <v>0</v>
      </c>
      <c r="H840" s="31">
        <v>1</v>
      </c>
      <c r="I840" s="31">
        <v>47</v>
      </c>
      <c r="J840" s="31">
        <f t="shared" si="51"/>
        <v>193</v>
      </c>
      <c r="K840" s="28">
        <v>498000</v>
      </c>
      <c r="L840" s="29">
        <v>0.45</v>
      </c>
      <c r="M840" s="31">
        <f t="shared" si="52"/>
        <v>224100</v>
      </c>
      <c r="N840" s="28">
        <f t="shared" si="50"/>
        <v>273900</v>
      </c>
    </row>
    <row r="841" spans="1:15" x14ac:dyDescent="0.35">
      <c r="A841">
        <v>500169</v>
      </c>
      <c r="B841" t="s">
        <v>1935</v>
      </c>
      <c r="C841" t="s">
        <v>1929</v>
      </c>
      <c r="D841" t="s">
        <v>1094</v>
      </c>
      <c r="E841" s="30" t="s">
        <v>14</v>
      </c>
      <c r="F841" s="31">
        <v>0</v>
      </c>
      <c r="G841" s="31">
        <v>0</v>
      </c>
      <c r="H841" s="31">
        <v>0</v>
      </c>
      <c r="I841" s="31">
        <v>40</v>
      </c>
      <c r="J841" s="31">
        <f t="shared" si="51"/>
        <v>40</v>
      </c>
      <c r="K841" s="28">
        <v>278000</v>
      </c>
      <c r="L841" s="29">
        <v>0.17</v>
      </c>
      <c r="M841" s="31">
        <f t="shared" si="52"/>
        <v>47260</v>
      </c>
      <c r="N841" s="28">
        <f t="shared" si="50"/>
        <v>230740</v>
      </c>
    </row>
    <row r="842" spans="1:15" x14ac:dyDescent="0.35">
      <c r="A842">
        <v>500173</v>
      </c>
      <c r="B842" t="s">
        <v>1936</v>
      </c>
      <c r="C842" t="s">
        <v>1929</v>
      </c>
      <c r="D842" t="s">
        <v>1094</v>
      </c>
      <c r="E842" s="30" t="s">
        <v>14</v>
      </c>
      <c r="F842" s="31">
        <v>0</v>
      </c>
      <c r="G842" s="31">
        <v>0</v>
      </c>
      <c r="H842" s="31">
        <v>0</v>
      </c>
      <c r="I842" s="31">
        <v>78</v>
      </c>
      <c r="J842" s="31">
        <f t="shared" si="51"/>
        <v>78</v>
      </c>
      <c r="K842" s="28">
        <v>168000</v>
      </c>
      <c r="L842" s="29">
        <v>0.17</v>
      </c>
      <c r="M842" s="31">
        <f t="shared" si="52"/>
        <v>28560.000000000004</v>
      </c>
      <c r="N842" s="28">
        <f t="shared" si="50"/>
        <v>139440</v>
      </c>
    </row>
    <row r="843" spans="1:15" x14ac:dyDescent="0.35">
      <c r="A843">
        <v>500224</v>
      </c>
      <c r="B843" t="s">
        <v>1937</v>
      </c>
      <c r="C843" t="s">
        <v>1929</v>
      </c>
      <c r="D843" t="s">
        <v>1094</v>
      </c>
      <c r="E843" s="30" t="s">
        <v>14</v>
      </c>
      <c r="F843" s="31">
        <v>0</v>
      </c>
      <c r="G843" s="31">
        <v>19</v>
      </c>
      <c r="H843" s="31">
        <v>0</v>
      </c>
      <c r="I843" s="31">
        <v>64</v>
      </c>
      <c r="J843" s="31">
        <f t="shared" si="51"/>
        <v>83</v>
      </c>
      <c r="K843" s="28">
        <v>328000</v>
      </c>
      <c r="L843" s="29">
        <v>0.17</v>
      </c>
      <c r="M843" s="31">
        <f t="shared" si="52"/>
        <v>55760.000000000007</v>
      </c>
      <c r="N843" s="28">
        <f t="shared" si="50"/>
        <v>272240</v>
      </c>
    </row>
    <row r="844" spans="1:15" x14ac:dyDescent="0.35">
      <c r="A844">
        <v>500231</v>
      </c>
      <c r="B844" t="s">
        <v>1938</v>
      </c>
      <c r="C844" t="s">
        <v>1929</v>
      </c>
      <c r="D844" t="s">
        <v>1094</v>
      </c>
      <c r="E844" s="30" t="s">
        <v>14</v>
      </c>
      <c r="F844" s="31">
        <v>0</v>
      </c>
      <c r="G844" s="31">
        <v>0</v>
      </c>
      <c r="H844" s="31">
        <v>0</v>
      </c>
      <c r="I844" s="31">
        <v>34</v>
      </c>
      <c r="J844" s="31">
        <f t="shared" si="51"/>
        <v>34</v>
      </c>
      <c r="K844" s="28">
        <v>298000</v>
      </c>
      <c r="L844" s="29">
        <v>0.45</v>
      </c>
      <c r="M844" s="31">
        <f t="shared" si="52"/>
        <v>134100</v>
      </c>
      <c r="N844" s="28">
        <f t="shared" si="50"/>
        <v>163900</v>
      </c>
    </row>
    <row r="845" spans="1:15" x14ac:dyDescent="0.35">
      <c r="A845">
        <v>700098</v>
      </c>
      <c r="B845" t="s">
        <v>1939</v>
      </c>
      <c r="C845" t="s">
        <v>1929</v>
      </c>
      <c r="D845" t="s">
        <v>1094</v>
      </c>
      <c r="E845" s="30" t="s">
        <v>14</v>
      </c>
      <c r="F845" s="31">
        <v>0</v>
      </c>
      <c r="G845" s="31">
        <v>0</v>
      </c>
      <c r="H845" s="31">
        <v>0</v>
      </c>
      <c r="I845" s="31">
        <v>5</v>
      </c>
      <c r="J845" s="31">
        <f t="shared" si="51"/>
        <v>5</v>
      </c>
      <c r="K845" s="28">
        <v>89000</v>
      </c>
      <c r="L845" s="29">
        <v>0.81</v>
      </c>
      <c r="M845" s="31">
        <f t="shared" si="52"/>
        <v>72090</v>
      </c>
      <c r="N845" s="28">
        <f t="shared" si="50"/>
        <v>16909.999999999996</v>
      </c>
    </row>
    <row r="846" spans="1:15" x14ac:dyDescent="0.35">
      <c r="A846">
        <v>700425</v>
      </c>
      <c r="B846" t="s">
        <v>1940</v>
      </c>
      <c r="C846" t="s">
        <v>1929</v>
      </c>
      <c r="D846" t="s">
        <v>1094</v>
      </c>
      <c r="E846" s="30" t="s">
        <v>14</v>
      </c>
      <c r="F846" s="31">
        <v>0</v>
      </c>
      <c r="G846" s="31">
        <v>545</v>
      </c>
      <c r="H846" s="31">
        <v>36</v>
      </c>
      <c r="I846" s="31">
        <v>123</v>
      </c>
      <c r="J846" s="31">
        <f t="shared" si="51"/>
        <v>704</v>
      </c>
      <c r="K846" s="28">
        <v>168000</v>
      </c>
      <c r="L846" s="29">
        <v>0.17</v>
      </c>
      <c r="M846" s="31">
        <f t="shared" si="52"/>
        <v>28560.000000000004</v>
      </c>
      <c r="N846" s="28">
        <f t="shared" si="50"/>
        <v>139440</v>
      </c>
    </row>
    <row r="847" spans="1:15" x14ac:dyDescent="0.35">
      <c r="A847">
        <v>700517</v>
      </c>
      <c r="B847" t="s">
        <v>1941</v>
      </c>
      <c r="C847" t="s">
        <v>1929</v>
      </c>
      <c r="D847" t="s">
        <v>1094</v>
      </c>
      <c r="E847" s="30" t="s">
        <v>14</v>
      </c>
      <c r="F847" s="31">
        <v>0</v>
      </c>
      <c r="G847" s="31">
        <v>0</v>
      </c>
      <c r="H847" s="31">
        <v>5</v>
      </c>
      <c r="I847" s="31">
        <v>2</v>
      </c>
      <c r="J847" s="31">
        <f t="shared" si="51"/>
        <v>7</v>
      </c>
      <c r="K847" s="28">
        <v>1498000</v>
      </c>
      <c r="L847" s="29">
        <v>0.17</v>
      </c>
      <c r="M847" s="31">
        <f t="shared" si="52"/>
        <v>254660.00000000003</v>
      </c>
      <c r="N847" s="28">
        <f t="shared" si="50"/>
        <v>1243340</v>
      </c>
    </row>
    <row r="848" spans="1:15" x14ac:dyDescent="0.35">
      <c r="A848">
        <v>700556</v>
      </c>
      <c r="B848" t="s">
        <v>1942</v>
      </c>
      <c r="C848" t="s">
        <v>1929</v>
      </c>
      <c r="D848" t="s">
        <v>1094</v>
      </c>
      <c r="E848" s="30" t="s">
        <v>14</v>
      </c>
      <c r="F848" s="31">
        <v>0</v>
      </c>
      <c r="G848" s="31">
        <v>0</v>
      </c>
      <c r="H848" s="31">
        <v>0</v>
      </c>
      <c r="I848" s="31">
        <v>3</v>
      </c>
      <c r="J848" s="31">
        <f t="shared" si="51"/>
        <v>3</v>
      </c>
      <c r="K848" s="28">
        <v>228000</v>
      </c>
      <c r="L848" s="29">
        <v>0.17</v>
      </c>
      <c r="M848" s="31">
        <f t="shared" si="52"/>
        <v>38760</v>
      </c>
      <c r="N848" s="28">
        <f t="shared" si="50"/>
        <v>189240</v>
      </c>
    </row>
    <row r="849" spans="1:14" x14ac:dyDescent="0.35">
      <c r="A849">
        <v>701018</v>
      </c>
      <c r="B849" t="s">
        <v>1943</v>
      </c>
      <c r="C849" t="s">
        <v>1929</v>
      </c>
      <c r="D849" t="s">
        <v>1094</v>
      </c>
      <c r="E849" s="30" t="s">
        <v>14</v>
      </c>
      <c r="F849" s="31">
        <v>0</v>
      </c>
      <c r="G849" s="31">
        <v>35</v>
      </c>
      <c r="H849" s="31">
        <v>23</v>
      </c>
      <c r="I849" s="31">
        <v>114</v>
      </c>
      <c r="J849" s="31">
        <f t="shared" si="51"/>
        <v>172</v>
      </c>
      <c r="K849" s="28">
        <v>168000</v>
      </c>
      <c r="L849" s="29">
        <v>0.17</v>
      </c>
      <c r="M849" s="31">
        <f t="shared" si="52"/>
        <v>28560.000000000004</v>
      </c>
      <c r="N849" s="28">
        <f t="shared" si="50"/>
        <v>139440</v>
      </c>
    </row>
    <row r="850" spans="1:14" x14ac:dyDescent="0.35">
      <c r="A850">
        <v>701019</v>
      </c>
      <c r="B850" t="s">
        <v>1944</v>
      </c>
      <c r="C850" t="s">
        <v>1929</v>
      </c>
      <c r="D850" t="s">
        <v>1094</v>
      </c>
      <c r="E850" s="30" t="s">
        <v>14</v>
      </c>
      <c r="F850" s="31">
        <v>0</v>
      </c>
      <c r="G850" s="31">
        <v>6</v>
      </c>
      <c r="H850" s="31">
        <v>0</v>
      </c>
      <c r="I850" s="31">
        <v>22</v>
      </c>
      <c r="J850" s="31">
        <f t="shared" si="51"/>
        <v>28</v>
      </c>
      <c r="K850" s="28">
        <v>648000</v>
      </c>
      <c r="L850" s="29">
        <v>0.17</v>
      </c>
      <c r="M850" s="31">
        <f t="shared" si="52"/>
        <v>110160.00000000001</v>
      </c>
      <c r="N850" s="28">
        <f t="shared" si="50"/>
        <v>537840</v>
      </c>
    </row>
    <row r="851" spans="1:14" x14ac:dyDescent="0.35">
      <c r="A851">
        <v>712739</v>
      </c>
      <c r="B851" t="s">
        <v>1945</v>
      </c>
      <c r="C851" t="s">
        <v>1929</v>
      </c>
      <c r="D851" t="s">
        <v>1094</v>
      </c>
      <c r="E851" s="30" t="s">
        <v>14</v>
      </c>
      <c r="F851" s="31">
        <v>0</v>
      </c>
      <c r="G851" s="31">
        <v>0</v>
      </c>
      <c r="H851" s="31">
        <v>0</v>
      </c>
      <c r="I851" s="31">
        <v>82</v>
      </c>
      <c r="J851" s="31">
        <f t="shared" si="51"/>
        <v>82</v>
      </c>
      <c r="K851" s="28">
        <v>328000</v>
      </c>
      <c r="L851" s="29">
        <v>0.17</v>
      </c>
      <c r="M851" s="31">
        <f t="shared" si="52"/>
        <v>55760.000000000007</v>
      </c>
      <c r="N851" s="28">
        <f t="shared" si="50"/>
        <v>272240</v>
      </c>
    </row>
    <row r="852" spans="1:14" x14ac:dyDescent="0.35">
      <c r="A852">
        <v>713723</v>
      </c>
      <c r="B852" t="s">
        <v>1946</v>
      </c>
      <c r="C852" t="s">
        <v>1929</v>
      </c>
      <c r="D852" t="s">
        <v>1094</v>
      </c>
      <c r="E852" s="30" t="s">
        <v>14</v>
      </c>
      <c r="F852" s="31">
        <v>0</v>
      </c>
      <c r="G852" s="31">
        <v>0</v>
      </c>
      <c r="H852" s="31">
        <v>0</v>
      </c>
      <c r="I852" s="31">
        <v>29</v>
      </c>
      <c r="J852" s="31">
        <f t="shared" si="51"/>
        <v>29</v>
      </c>
      <c r="K852" s="28">
        <v>168000</v>
      </c>
      <c r="L852" s="29">
        <v>0.17</v>
      </c>
      <c r="M852" s="31">
        <f t="shared" si="52"/>
        <v>28560.000000000004</v>
      </c>
      <c r="N852" s="28">
        <f t="shared" si="50"/>
        <v>139440</v>
      </c>
    </row>
    <row r="853" spans="1:14" x14ac:dyDescent="0.35">
      <c r="A853">
        <v>714404</v>
      </c>
      <c r="B853" t="s">
        <v>1947</v>
      </c>
      <c r="C853" t="s">
        <v>1929</v>
      </c>
      <c r="D853" t="s">
        <v>1094</v>
      </c>
      <c r="E853" s="30" t="s">
        <v>14</v>
      </c>
      <c r="F853" s="31">
        <v>26</v>
      </c>
      <c r="G853" s="31">
        <v>0</v>
      </c>
      <c r="H853" s="31">
        <v>0</v>
      </c>
      <c r="I853" s="31">
        <v>69</v>
      </c>
      <c r="J853" s="31">
        <f t="shared" si="51"/>
        <v>95</v>
      </c>
      <c r="K853" s="28">
        <v>168000</v>
      </c>
      <c r="L853" s="29">
        <v>0.17</v>
      </c>
      <c r="M853" s="31">
        <f t="shared" si="52"/>
        <v>28560.000000000004</v>
      </c>
      <c r="N853" s="28">
        <f t="shared" si="50"/>
        <v>139440</v>
      </c>
    </row>
    <row r="854" spans="1:14" x14ac:dyDescent="0.35">
      <c r="A854">
        <v>718423</v>
      </c>
      <c r="B854" t="s">
        <v>1948</v>
      </c>
      <c r="C854" t="s">
        <v>1929</v>
      </c>
      <c r="D854" t="s">
        <v>1094</v>
      </c>
      <c r="E854" s="30" t="s">
        <v>14</v>
      </c>
      <c r="F854" s="31">
        <v>0</v>
      </c>
      <c r="G854" s="31">
        <v>0</v>
      </c>
      <c r="H854" s="31">
        <v>0</v>
      </c>
      <c r="I854" s="31">
        <v>55</v>
      </c>
      <c r="J854" s="31">
        <f t="shared" si="51"/>
        <v>55</v>
      </c>
      <c r="K854" s="28">
        <v>138000</v>
      </c>
      <c r="L854" s="29">
        <v>0.45</v>
      </c>
      <c r="M854" s="31">
        <f t="shared" si="52"/>
        <v>62100</v>
      </c>
      <c r="N854" s="28">
        <f t="shared" si="50"/>
        <v>75900</v>
      </c>
    </row>
    <row r="855" spans="1:14" x14ac:dyDescent="0.35">
      <c r="A855">
        <v>721584</v>
      </c>
      <c r="B855" t="s">
        <v>1949</v>
      </c>
      <c r="C855" t="s">
        <v>1929</v>
      </c>
      <c r="D855" t="s">
        <v>1094</v>
      </c>
      <c r="E855" s="30" t="s">
        <v>14</v>
      </c>
      <c r="F855" s="31">
        <v>0</v>
      </c>
      <c r="G855" s="31">
        <v>1</v>
      </c>
      <c r="H855" s="31">
        <v>3</v>
      </c>
      <c r="I855" s="31">
        <v>72</v>
      </c>
      <c r="J855" s="31">
        <f t="shared" si="51"/>
        <v>76</v>
      </c>
      <c r="K855" s="28">
        <v>198000</v>
      </c>
      <c r="L855" s="29">
        <v>0.17</v>
      </c>
      <c r="M855" s="31">
        <f t="shared" si="52"/>
        <v>33660</v>
      </c>
      <c r="N855" s="28">
        <f t="shared" si="50"/>
        <v>164340</v>
      </c>
    </row>
    <row r="856" spans="1:14" x14ac:dyDescent="0.35">
      <c r="A856">
        <v>722486</v>
      </c>
      <c r="B856" t="s">
        <v>1950</v>
      </c>
      <c r="C856" t="s">
        <v>1929</v>
      </c>
      <c r="D856" t="s">
        <v>1094</v>
      </c>
      <c r="E856" s="30" t="s">
        <v>14</v>
      </c>
      <c r="F856" s="31">
        <v>0</v>
      </c>
      <c r="G856" s="31">
        <v>0</v>
      </c>
      <c r="H856" s="31">
        <v>0</v>
      </c>
      <c r="I856" s="31">
        <v>11</v>
      </c>
      <c r="J856" s="31">
        <f t="shared" si="51"/>
        <v>11</v>
      </c>
      <c r="K856" s="28">
        <v>248000</v>
      </c>
      <c r="L856" s="29">
        <v>0.17</v>
      </c>
      <c r="M856" s="31">
        <f t="shared" si="52"/>
        <v>42160</v>
      </c>
      <c r="N856" s="28">
        <f t="shared" si="50"/>
        <v>205840</v>
      </c>
    </row>
    <row r="857" spans="1:14" x14ac:dyDescent="0.35">
      <c r="A857">
        <v>722633</v>
      </c>
      <c r="B857" t="s">
        <v>1951</v>
      </c>
      <c r="C857" t="s">
        <v>1929</v>
      </c>
      <c r="D857" t="s">
        <v>1094</v>
      </c>
      <c r="E857" s="30" t="s">
        <v>14</v>
      </c>
      <c r="F857" s="31">
        <v>0</v>
      </c>
      <c r="G857" s="31">
        <v>0</v>
      </c>
      <c r="H857" s="31">
        <v>0</v>
      </c>
      <c r="I857" s="31">
        <v>2</v>
      </c>
      <c r="J857" s="31">
        <f t="shared" si="51"/>
        <v>2</v>
      </c>
      <c r="K857" s="28">
        <v>108000</v>
      </c>
      <c r="L857" s="29">
        <v>0.17</v>
      </c>
      <c r="M857" s="31">
        <f t="shared" si="52"/>
        <v>18360</v>
      </c>
      <c r="N857" s="28">
        <f t="shared" si="50"/>
        <v>89640</v>
      </c>
    </row>
    <row r="858" spans="1:14" x14ac:dyDescent="0.35">
      <c r="A858">
        <v>722634</v>
      </c>
      <c r="B858" t="s">
        <v>1952</v>
      </c>
      <c r="C858" t="s">
        <v>1929</v>
      </c>
      <c r="D858" t="s">
        <v>1094</v>
      </c>
      <c r="E858" s="30" t="s">
        <v>14</v>
      </c>
      <c r="F858" s="31">
        <v>0</v>
      </c>
      <c r="G858" s="31">
        <v>0</v>
      </c>
      <c r="H858" s="31">
        <v>0</v>
      </c>
      <c r="I858" s="31">
        <v>2</v>
      </c>
      <c r="J858" s="31">
        <f t="shared" si="51"/>
        <v>2</v>
      </c>
      <c r="K858" s="28">
        <v>108000</v>
      </c>
      <c r="L858" s="29">
        <v>0.17</v>
      </c>
      <c r="M858" s="31">
        <f t="shared" si="52"/>
        <v>18360</v>
      </c>
      <c r="N858" s="28">
        <f t="shared" si="50"/>
        <v>89640</v>
      </c>
    </row>
    <row r="859" spans="1:14" x14ac:dyDescent="0.35">
      <c r="A859">
        <v>723315</v>
      </c>
      <c r="B859" t="s">
        <v>1953</v>
      </c>
      <c r="C859" t="s">
        <v>1929</v>
      </c>
      <c r="D859" t="s">
        <v>1094</v>
      </c>
      <c r="E859" s="30" t="s">
        <v>14</v>
      </c>
      <c r="F859" s="31">
        <v>0</v>
      </c>
      <c r="G859" s="31">
        <v>0</v>
      </c>
      <c r="H859" s="31">
        <v>0</v>
      </c>
      <c r="I859" s="31">
        <v>6</v>
      </c>
      <c r="J859" s="31">
        <f t="shared" si="51"/>
        <v>6</v>
      </c>
      <c r="K859" s="28">
        <v>128000</v>
      </c>
      <c r="L859" s="29">
        <v>0.17</v>
      </c>
      <c r="M859" s="31">
        <f t="shared" si="52"/>
        <v>21760</v>
      </c>
      <c r="N859" s="28">
        <f t="shared" si="50"/>
        <v>106240</v>
      </c>
    </row>
    <row r="860" spans="1:14" x14ac:dyDescent="0.35">
      <c r="A860">
        <v>723344</v>
      </c>
      <c r="B860" t="s">
        <v>1954</v>
      </c>
      <c r="C860" t="s">
        <v>1929</v>
      </c>
      <c r="D860" t="s">
        <v>1094</v>
      </c>
      <c r="E860" s="30" t="s">
        <v>14</v>
      </c>
      <c r="F860" s="31">
        <v>0</v>
      </c>
      <c r="G860" s="31">
        <v>0</v>
      </c>
      <c r="H860" s="31">
        <v>0</v>
      </c>
      <c r="I860" s="31">
        <v>21</v>
      </c>
      <c r="J860" s="31">
        <f t="shared" si="51"/>
        <v>21</v>
      </c>
      <c r="K860" s="28">
        <v>398000</v>
      </c>
      <c r="L860" s="29">
        <v>0.17</v>
      </c>
      <c r="M860" s="31">
        <f t="shared" si="52"/>
        <v>67660</v>
      </c>
      <c r="N860" s="28">
        <f t="shared" si="50"/>
        <v>330340</v>
      </c>
    </row>
    <row r="861" spans="1:14" x14ac:dyDescent="0.35">
      <c r="A861">
        <v>723345</v>
      </c>
      <c r="B861" t="s">
        <v>1955</v>
      </c>
      <c r="C861" t="s">
        <v>1929</v>
      </c>
      <c r="D861" t="s">
        <v>1094</v>
      </c>
      <c r="E861" s="30" t="s">
        <v>14</v>
      </c>
      <c r="F861" s="31">
        <v>0</v>
      </c>
      <c r="G861" s="31">
        <v>0</v>
      </c>
      <c r="H861" s="31">
        <v>0</v>
      </c>
      <c r="I861" s="31">
        <v>48</v>
      </c>
      <c r="J861" s="31">
        <f t="shared" si="51"/>
        <v>48</v>
      </c>
      <c r="K861" s="28">
        <v>398000</v>
      </c>
      <c r="L861" s="29">
        <v>0.17</v>
      </c>
      <c r="M861" s="31">
        <f t="shared" si="52"/>
        <v>67660</v>
      </c>
      <c r="N861" s="28">
        <f t="shared" si="50"/>
        <v>330340</v>
      </c>
    </row>
    <row r="862" spans="1:14" x14ac:dyDescent="0.35">
      <c r="A862">
        <v>723346</v>
      </c>
      <c r="B862" t="s">
        <v>1956</v>
      </c>
      <c r="C862" t="s">
        <v>1929</v>
      </c>
      <c r="D862" t="s">
        <v>1094</v>
      </c>
      <c r="E862" s="30" t="s">
        <v>14</v>
      </c>
      <c r="F862" s="31">
        <v>0</v>
      </c>
      <c r="G862" s="31">
        <v>0</v>
      </c>
      <c r="H862" s="31">
        <v>0</v>
      </c>
      <c r="I862" s="31">
        <v>4</v>
      </c>
      <c r="J862" s="31">
        <f t="shared" si="51"/>
        <v>4</v>
      </c>
      <c r="K862" s="28">
        <v>178000</v>
      </c>
      <c r="L862" s="29">
        <v>0.17</v>
      </c>
      <c r="M862" s="31">
        <f t="shared" si="52"/>
        <v>30260.000000000004</v>
      </c>
      <c r="N862" s="28">
        <f t="shared" si="50"/>
        <v>147740</v>
      </c>
    </row>
    <row r="863" spans="1:14" x14ac:dyDescent="0.35">
      <c r="A863">
        <v>723347</v>
      </c>
      <c r="B863" t="s">
        <v>1957</v>
      </c>
      <c r="C863" t="s">
        <v>1929</v>
      </c>
      <c r="D863" t="s">
        <v>1094</v>
      </c>
      <c r="E863" s="30" t="s">
        <v>14</v>
      </c>
      <c r="F863" s="31">
        <v>0</v>
      </c>
      <c r="G863" s="31">
        <v>0</v>
      </c>
      <c r="H863" s="31">
        <v>0</v>
      </c>
      <c r="I863" s="31">
        <v>2</v>
      </c>
      <c r="J863" s="31">
        <f t="shared" si="51"/>
        <v>2</v>
      </c>
      <c r="K863" s="28">
        <v>178000</v>
      </c>
      <c r="L863" s="29">
        <v>0.17</v>
      </c>
      <c r="M863" s="31">
        <f t="shared" si="52"/>
        <v>30260.000000000004</v>
      </c>
      <c r="N863" s="28">
        <f t="shared" si="50"/>
        <v>147740</v>
      </c>
    </row>
    <row r="864" spans="1:14" x14ac:dyDescent="0.35">
      <c r="A864">
        <v>723348</v>
      </c>
      <c r="B864" t="s">
        <v>1958</v>
      </c>
      <c r="C864" t="s">
        <v>1929</v>
      </c>
      <c r="D864" t="s">
        <v>1094</v>
      </c>
      <c r="E864" s="30" t="s">
        <v>14</v>
      </c>
      <c r="F864" s="31">
        <v>0</v>
      </c>
      <c r="G864" s="31">
        <v>0</v>
      </c>
      <c r="H864" s="31">
        <v>0</v>
      </c>
      <c r="I864" s="31">
        <v>51</v>
      </c>
      <c r="J864" s="31">
        <f t="shared" si="51"/>
        <v>51</v>
      </c>
      <c r="K864" s="28">
        <v>118000</v>
      </c>
      <c r="L864" s="29">
        <v>0.45</v>
      </c>
      <c r="M864" s="31">
        <f t="shared" si="52"/>
        <v>53100</v>
      </c>
      <c r="N864" s="28">
        <f t="shared" si="50"/>
        <v>64900.000000000007</v>
      </c>
    </row>
    <row r="865" spans="1:14" x14ac:dyDescent="0.35">
      <c r="A865">
        <v>724109</v>
      </c>
      <c r="B865" t="s">
        <v>1959</v>
      </c>
      <c r="C865" t="s">
        <v>1929</v>
      </c>
      <c r="D865" t="s">
        <v>1094</v>
      </c>
      <c r="E865" s="30" t="s">
        <v>14</v>
      </c>
      <c r="F865" s="31">
        <v>0</v>
      </c>
      <c r="G865" s="31">
        <v>0</v>
      </c>
      <c r="H865" s="31">
        <v>0</v>
      </c>
      <c r="I865" s="31">
        <v>6</v>
      </c>
      <c r="J865" s="31">
        <f t="shared" si="51"/>
        <v>6</v>
      </c>
      <c r="K865" s="28">
        <v>89000</v>
      </c>
      <c r="L865" s="29">
        <v>0.81</v>
      </c>
      <c r="M865" s="31">
        <f t="shared" si="52"/>
        <v>72090</v>
      </c>
      <c r="N865" s="28">
        <f t="shared" si="50"/>
        <v>16909.999999999996</v>
      </c>
    </row>
    <row r="866" spans="1:14" x14ac:dyDescent="0.35">
      <c r="A866">
        <v>727595</v>
      </c>
      <c r="B866" t="s">
        <v>1960</v>
      </c>
      <c r="C866" t="s">
        <v>1929</v>
      </c>
      <c r="D866" t="s">
        <v>1094</v>
      </c>
      <c r="E866" s="30" t="s">
        <v>14</v>
      </c>
      <c r="F866" s="31">
        <v>0</v>
      </c>
      <c r="G866" s="31">
        <v>65</v>
      </c>
      <c r="H866" s="31">
        <v>11</v>
      </c>
      <c r="I866" s="31">
        <v>37</v>
      </c>
      <c r="J866" s="31">
        <f t="shared" si="51"/>
        <v>113</v>
      </c>
      <c r="K866" s="28">
        <v>548000</v>
      </c>
      <c r="L866" s="29">
        <v>0.17</v>
      </c>
      <c r="M866" s="31">
        <f t="shared" si="52"/>
        <v>93160</v>
      </c>
      <c r="N866" s="28">
        <f t="shared" si="50"/>
        <v>454840</v>
      </c>
    </row>
    <row r="867" spans="1:14" x14ac:dyDescent="0.35">
      <c r="A867">
        <v>728791</v>
      </c>
      <c r="B867" t="s">
        <v>1961</v>
      </c>
      <c r="C867" t="s">
        <v>1929</v>
      </c>
      <c r="D867" t="s">
        <v>1094</v>
      </c>
      <c r="E867" s="30" t="s">
        <v>14</v>
      </c>
      <c r="F867" s="31">
        <v>0</v>
      </c>
      <c r="G867" s="31">
        <v>0</v>
      </c>
      <c r="H867" s="31">
        <v>0</v>
      </c>
      <c r="I867" s="31">
        <v>28</v>
      </c>
      <c r="J867" s="31">
        <f t="shared" si="51"/>
        <v>28</v>
      </c>
      <c r="K867" s="28">
        <v>378000</v>
      </c>
      <c r="L867" s="29">
        <v>0.17</v>
      </c>
      <c r="M867" s="31">
        <f t="shared" si="52"/>
        <v>64260.000000000007</v>
      </c>
      <c r="N867" s="28">
        <f t="shared" si="50"/>
        <v>313740</v>
      </c>
    </row>
    <row r="868" spans="1:14" x14ac:dyDescent="0.35">
      <c r="A868">
        <v>729565</v>
      </c>
      <c r="B868" t="s">
        <v>1962</v>
      </c>
      <c r="C868" t="s">
        <v>1929</v>
      </c>
      <c r="D868" t="s">
        <v>1094</v>
      </c>
      <c r="E868" s="30" t="s">
        <v>14</v>
      </c>
      <c r="F868" s="31">
        <v>0</v>
      </c>
      <c r="G868" s="31">
        <v>0</v>
      </c>
      <c r="H868" s="31">
        <v>0</v>
      </c>
      <c r="I868" s="31">
        <v>48</v>
      </c>
      <c r="J868" s="31">
        <f t="shared" si="51"/>
        <v>48</v>
      </c>
      <c r="K868" s="28">
        <v>168000</v>
      </c>
      <c r="L868" s="29">
        <v>0.17</v>
      </c>
      <c r="M868" s="31">
        <f t="shared" si="52"/>
        <v>28560.000000000004</v>
      </c>
      <c r="N868" s="28">
        <f t="shared" si="50"/>
        <v>139440</v>
      </c>
    </row>
    <row r="869" spans="1:14" x14ac:dyDescent="0.35">
      <c r="A869">
        <v>730566</v>
      </c>
      <c r="B869" t="s">
        <v>1963</v>
      </c>
      <c r="C869" t="s">
        <v>1929</v>
      </c>
      <c r="D869" t="s">
        <v>1094</v>
      </c>
      <c r="E869" s="30" t="s">
        <v>14</v>
      </c>
      <c r="F869" s="31">
        <v>0</v>
      </c>
      <c r="G869" s="31">
        <v>0</v>
      </c>
      <c r="H869" s="31">
        <v>0</v>
      </c>
      <c r="I869" s="31">
        <v>64</v>
      </c>
      <c r="J869" s="31">
        <f t="shared" si="51"/>
        <v>64</v>
      </c>
      <c r="K869" s="28">
        <v>168000</v>
      </c>
      <c r="L869" s="29">
        <v>0.17</v>
      </c>
      <c r="M869" s="31">
        <f t="shared" si="52"/>
        <v>28560.000000000004</v>
      </c>
      <c r="N869" s="28">
        <f t="shared" si="50"/>
        <v>139440</v>
      </c>
    </row>
    <row r="870" spans="1:14" x14ac:dyDescent="0.35">
      <c r="A870">
        <v>732521</v>
      </c>
      <c r="B870" t="s">
        <v>1964</v>
      </c>
      <c r="C870" t="s">
        <v>1929</v>
      </c>
      <c r="D870" t="s">
        <v>1094</v>
      </c>
      <c r="E870" s="30" t="s">
        <v>14</v>
      </c>
      <c r="F870" s="31">
        <v>0</v>
      </c>
      <c r="G870" s="31">
        <v>2</v>
      </c>
      <c r="H870" s="31">
        <v>8</v>
      </c>
      <c r="I870" s="31">
        <v>125</v>
      </c>
      <c r="J870" s="31">
        <f t="shared" si="51"/>
        <v>135</v>
      </c>
      <c r="K870" s="28">
        <v>138000</v>
      </c>
      <c r="L870" s="29">
        <v>0.45</v>
      </c>
      <c r="M870" s="31">
        <f t="shared" si="52"/>
        <v>62100</v>
      </c>
      <c r="N870" s="28">
        <f t="shared" si="50"/>
        <v>75900</v>
      </c>
    </row>
    <row r="871" spans="1:14" x14ac:dyDescent="0.35">
      <c r="A871">
        <v>736439</v>
      </c>
      <c r="B871" t="s">
        <v>1965</v>
      </c>
      <c r="C871" t="s">
        <v>1929</v>
      </c>
      <c r="D871" t="s">
        <v>1094</v>
      </c>
      <c r="E871" s="30" t="s">
        <v>14</v>
      </c>
      <c r="F871" s="31">
        <v>67</v>
      </c>
      <c r="G871" s="31">
        <v>98</v>
      </c>
      <c r="H871" s="31">
        <v>18</v>
      </c>
      <c r="I871" s="31">
        <v>93</v>
      </c>
      <c r="J871" s="31">
        <f t="shared" si="51"/>
        <v>276</v>
      </c>
      <c r="K871" s="28">
        <v>278000</v>
      </c>
      <c r="L871" s="29">
        <v>0.17</v>
      </c>
      <c r="M871" s="31">
        <f t="shared" si="52"/>
        <v>47260</v>
      </c>
      <c r="N871" s="28">
        <f t="shared" si="50"/>
        <v>230740</v>
      </c>
    </row>
    <row r="872" spans="1:14" x14ac:dyDescent="0.35">
      <c r="A872">
        <v>737665</v>
      </c>
      <c r="B872" t="s">
        <v>1966</v>
      </c>
      <c r="C872" t="s">
        <v>1929</v>
      </c>
      <c r="D872" t="s">
        <v>1094</v>
      </c>
      <c r="E872" s="30" t="s">
        <v>14</v>
      </c>
      <c r="F872" s="31">
        <v>0</v>
      </c>
      <c r="G872" s="31">
        <v>0</v>
      </c>
      <c r="H872" s="31">
        <v>0</v>
      </c>
      <c r="I872" s="31">
        <v>9</v>
      </c>
      <c r="J872" s="31">
        <f t="shared" si="51"/>
        <v>9</v>
      </c>
      <c r="K872" s="28">
        <v>158000</v>
      </c>
      <c r="L872" s="29">
        <v>0.17</v>
      </c>
      <c r="M872" s="31">
        <f t="shared" si="52"/>
        <v>26860.000000000004</v>
      </c>
      <c r="N872" s="28">
        <f t="shared" si="50"/>
        <v>131140</v>
      </c>
    </row>
    <row r="873" spans="1:14" x14ac:dyDescent="0.35">
      <c r="A873">
        <v>737923</v>
      </c>
      <c r="B873" t="s">
        <v>1967</v>
      </c>
      <c r="C873" t="s">
        <v>1929</v>
      </c>
      <c r="D873" t="s">
        <v>1094</v>
      </c>
      <c r="E873" s="30" t="s">
        <v>14</v>
      </c>
      <c r="F873" s="31">
        <v>0</v>
      </c>
      <c r="G873" s="31">
        <v>0</v>
      </c>
      <c r="H873" s="31">
        <v>0</v>
      </c>
      <c r="I873" s="31">
        <v>1</v>
      </c>
      <c r="J873" s="31">
        <f t="shared" si="51"/>
        <v>1</v>
      </c>
      <c r="K873" s="28">
        <v>298000</v>
      </c>
      <c r="L873" s="29">
        <v>0.17</v>
      </c>
      <c r="M873" s="31">
        <f t="shared" si="52"/>
        <v>50660</v>
      </c>
      <c r="N873" s="28">
        <f t="shared" si="50"/>
        <v>247340</v>
      </c>
    </row>
    <row r="874" spans="1:14" x14ac:dyDescent="0.35">
      <c r="A874">
        <v>737924</v>
      </c>
      <c r="B874" t="s">
        <v>1968</v>
      </c>
      <c r="C874" t="s">
        <v>1929</v>
      </c>
      <c r="D874" t="s">
        <v>1094</v>
      </c>
      <c r="E874" s="30" t="s">
        <v>14</v>
      </c>
      <c r="F874" s="31">
        <v>0</v>
      </c>
      <c r="G874" s="31">
        <v>0</v>
      </c>
      <c r="H874" s="31">
        <v>0</v>
      </c>
      <c r="I874" s="31">
        <v>35</v>
      </c>
      <c r="J874" s="31">
        <f t="shared" si="51"/>
        <v>35</v>
      </c>
      <c r="K874" s="28">
        <v>198000</v>
      </c>
      <c r="L874" s="29">
        <v>0.17</v>
      </c>
      <c r="M874" s="31">
        <f t="shared" si="52"/>
        <v>33660</v>
      </c>
      <c r="N874" s="28">
        <f t="shared" si="50"/>
        <v>164340</v>
      </c>
    </row>
    <row r="875" spans="1:14" x14ac:dyDescent="0.35">
      <c r="A875">
        <v>737925</v>
      </c>
      <c r="B875" t="s">
        <v>1969</v>
      </c>
      <c r="C875" t="s">
        <v>1929</v>
      </c>
      <c r="D875" t="s">
        <v>1094</v>
      </c>
      <c r="E875" s="30" t="s">
        <v>14</v>
      </c>
      <c r="F875" s="31">
        <v>0</v>
      </c>
      <c r="G875" s="31">
        <v>0</v>
      </c>
      <c r="H875" s="31">
        <v>1</v>
      </c>
      <c r="I875" s="31">
        <v>30</v>
      </c>
      <c r="J875" s="31">
        <f t="shared" si="51"/>
        <v>31</v>
      </c>
      <c r="K875" s="28">
        <v>448000</v>
      </c>
      <c r="L875" s="29">
        <v>0.17</v>
      </c>
      <c r="M875" s="31">
        <f t="shared" si="52"/>
        <v>76160</v>
      </c>
      <c r="N875" s="28">
        <f t="shared" si="50"/>
        <v>371840</v>
      </c>
    </row>
    <row r="876" spans="1:14" x14ac:dyDescent="0.35">
      <c r="A876">
        <v>738376</v>
      </c>
      <c r="B876" t="s">
        <v>1970</v>
      </c>
      <c r="C876" t="s">
        <v>1929</v>
      </c>
      <c r="D876" t="s">
        <v>1094</v>
      </c>
      <c r="E876" s="30" t="s">
        <v>14</v>
      </c>
      <c r="F876" s="31">
        <v>0</v>
      </c>
      <c r="G876" s="31">
        <v>10</v>
      </c>
      <c r="H876" s="31">
        <v>1</v>
      </c>
      <c r="I876" s="31">
        <v>2</v>
      </c>
      <c r="J876" s="31">
        <f t="shared" si="51"/>
        <v>13</v>
      </c>
      <c r="K876" s="28">
        <v>2148000</v>
      </c>
      <c r="L876" s="29">
        <v>0.17</v>
      </c>
      <c r="M876" s="31">
        <f t="shared" si="52"/>
        <v>365160</v>
      </c>
      <c r="N876" s="28">
        <f t="shared" si="50"/>
        <v>1782840</v>
      </c>
    </row>
    <row r="877" spans="1:14" x14ac:dyDescent="0.35">
      <c r="A877">
        <v>738377</v>
      </c>
      <c r="B877" t="s">
        <v>1971</v>
      </c>
      <c r="C877" t="s">
        <v>1929</v>
      </c>
      <c r="D877" t="s">
        <v>1094</v>
      </c>
      <c r="E877" s="30" t="s">
        <v>14</v>
      </c>
      <c r="F877" s="31">
        <v>0</v>
      </c>
      <c r="G877" s="31">
        <v>1</v>
      </c>
      <c r="H877" s="31">
        <v>3</v>
      </c>
      <c r="I877" s="31">
        <v>3</v>
      </c>
      <c r="J877" s="31">
        <f t="shared" si="51"/>
        <v>7</v>
      </c>
      <c r="K877" s="28">
        <v>2148000</v>
      </c>
      <c r="L877" s="29">
        <v>0.17</v>
      </c>
      <c r="M877" s="31">
        <f t="shared" si="52"/>
        <v>365160</v>
      </c>
      <c r="N877" s="28">
        <f t="shared" si="50"/>
        <v>1782840</v>
      </c>
    </row>
    <row r="878" spans="1:14" x14ac:dyDescent="0.35">
      <c r="A878">
        <v>738412</v>
      </c>
      <c r="B878" t="s">
        <v>1972</v>
      </c>
      <c r="C878" t="s">
        <v>1929</v>
      </c>
      <c r="D878" t="s">
        <v>1094</v>
      </c>
      <c r="E878" s="30" t="s">
        <v>14</v>
      </c>
      <c r="F878" s="31">
        <v>0</v>
      </c>
      <c r="G878" s="31">
        <v>0</v>
      </c>
      <c r="H878" s="31">
        <v>0</v>
      </c>
      <c r="I878" s="31">
        <v>13</v>
      </c>
      <c r="J878" s="31">
        <f t="shared" si="51"/>
        <v>13</v>
      </c>
      <c r="K878" s="28">
        <v>498000</v>
      </c>
      <c r="L878" s="29">
        <v>0.17</v>
      </c>
      <c r="M878" s="31">
        <f t="shared" si="52"/>
        <v>84660</v>
      </c>
      <c r="N878" s="28">
        <f t="shared" si="50"/>
        <v>413340</v>
      </c>
    </row>
    <row r="879" spans="1:14" x14ac:dyDescent="0.35">
      <c r="A879">
        <v>722230</v>
      </c>
      <c r="B879" t="s">
        <v>1973</v>
      </c>
      <c r="C879" t="s">
        <v>494</v>
      </c>
      <c r="D879" t="s">
        <v>1094</v>
      </c>
      <c r="E879" s="30" t="s">
        <v>14</v>
      </c>
      <c r="F879" s="31">
        <v>0</v>
      </c>
      <c r="G879" s="31">
        <v>0</v>
      </c>
      <c r="H879" s="31">
        <v>0</v>
      </c>
      <c r="I879" s="31">
        <v>13</v>
      </c>
      <c r="J879" s="31">
        <f t="shared" si="51"/>
        <v>13</v>
      </c>
      <c r="K879" s="28">
        <v>84000</v>
      </c>
      <c r="L879" s="29">
        <v>0.17</v>
      </c>
      <c r="M879" s="31">
        <f t="shared" si="52"/>
        <v>14280.000000000002</v>
      </c>
      <c r="N879" s="28">
        <f t="shared" si="50"/>
        <v>69720</v>
      </c>
    </row>
    <row r="880" spans="1:14" x14ac:dyDescent="0.35">
      <c r="A880">
        <v>726403</v>
      </c>
      <c r="B880" t="s">
        <v>1974</v>
      </c>
      <c r="C880" t="s">
        <v>679</v>
      </c>
      <c r="D880" t="s">
        <v>1094</v>
      </c>
      <c r="E880" s="30" t="s">
        <v>14</v>
      </c>
      <c r="F880" s="31">
        <v>0</v>
      </c>
      <c r="G880" s="31">
        <v>0</v>
      </c>
      <c r="H880" s="31">
        <v>0</v>
      </c>
      <c r="I880" s="31">
        <v>2</v>
      </c>
      <c r="J880" s="31">
        <f t="shared" si="51"/>
        <v>2</v>
      </c>
      <c r="K880" s="28">
        <v>278000</v>
      </c>
      <c r="L880" s="29">
        <v>0.81</v>
      </c>
      <c r="M880" s="31">
        <f t="shared" si="52"/>
        <v>225180.00000000003</v>
      </c>
      <c r="N880" s="28">
        <f t="shared" si="50"/>
        <v>52819.999999999985</v>
      </c>
    </row>
    <row r="881" spans="1:14" x14ac:dyDescent="0.35">
      <c r="A881">
        <v>726404</v>
      </c>
      <c r="B881" t="s">
        <v>1975</v>
      </c>
      <c r="C881" t="s">
        <v>679</v>
      </c>
      <c r="D881" t="s">
        <v>1094</v>
      </c>
      <c r="E881" s="30" t="s">
        <v>14</v>
      </c>
      <c r="F881" s="31">
        <v>0</v>
      </c>
      <c r="G881" s="31">
        <v>0</v>
      </c>
      <c r="H881" s="31">
        <v>0</v>
      </c>
      <c r="I881" s="31">
        <v>2</v>
      </c>
      <c r="J881" s="31">
        <f t="shared" si="51"/>
        <v>2</v>
      </c>
      <c r="K881" s="28">
        <v>598000</v>
      </c>
      <c r="L881" s="29">
        <v>0.81</v>
      </c>
      <c r="M881" s="31">
        <f t="shared" si="52"/>
        <v>484380.00000000006</v>
      </c>
      <c r="N881" s="28">
        <f t="shared" si="50"/>
        <v>113619.99999999997</v>
      </c>
    </row>
    <row r="882" spans="1:14" x14ac:dyDescent="0.35">
      <c r="A882">
        <v>726405</v>
      </c>
      <c r="B882" t="s">
        <v>1976</v>
      </c>
      <c r="C882" t="s">
        <v>679</v>
      </c>
      <c r="D882" t="s">
        <v>1094</v>
      </c>
      <c r="E882" s="30" t="s">
        <v>14</v>
      </c>
      <c r="F882" s="31">
        <v>0</v>
      </c>
      <c r="G882" s="31">
        <v>0</v>
      </c>
      <c r="H882" s="31">
        <v>0</v>
      </c>
      <c r="I882" s="31">
        <v>2</v>
      </c>
      <c r="J882" s="31">
        <f t="shared" si="51"/>
        <v>2</v>
      </c>
      <c r="K882" s="28">
        <v>628000</v>
      </c>
      <c r="L882" s="29">
        <v>0.81</v>
      </c>
      <c r="M882" s="31">
        <f t="shared" si="52"/>
        <v>508680.00000000006</v>
      </c>
      <c r="N882" s="28">
        <f t="shared" si="50"/>
        <v>119319.99999999997</v>
      </c>
    </row>
    <row r="883" spans="1:14" x14ac:dyDescent="0.35">
      <c r="A883">
        <v>726406</v>
      </c>
      <c r="B883" t="s">
        <v>1977</v>
      </c>
      <c r="C883" t="s">
        <v>679</v>
      </c>
      <c r="D883" t="s">
        <v>1094</v>
      </c>
      <c r="E883" s="30" t="s">
        <v>14</v>
      </c>
      <c r="F883" s="31">
        <v>0</v>
      </c>
      <c r="G883" s="31">
        <v>0</v>
      </c>
      <c r="H883" s="31">
        <v>0</v>
      </c>
      <c r="I883" s="31">
        <v>1</v>
      </c>
      <c r="J883" s="31">
        <f t="shared" si="51"/>
        <v>1</v>
      </c>
      <c r="K883" s="28">
        <v>278000</v>
      </c>
      <c r="L883" s="29">
        <v>0.81</v>
      </c>
      <c r="M883" s="31">
        <f t="shared" si="52"/>
        <v>225180.00000000003</v>
      </c>
      <c r="N883" s="28">
        <f t="shared" si="50"/>
        <v>52819.999999999985</v>
      </c>
    </row>
    <row r="884" spans="1:14" x14ac:dyDescent="0.35">
      <c r="A884">
        <v>726407</v>
      </c>
      <c r="B884" t="s">
        <v>1978</v>
      </c>
      <c r="C884" t="s">
        <v>679</v>
      </c>
      <c r="D884" t="s">
        <v>1094</v>
      </c>
      <c r="E884" s="30" t="s">
        <v>14</v>
      </c>
      <c r="F884" s="31">
        <v>0</v>
      </c>
      <c r="G884" s="31">
        <v>0</v>
      </c>
      <c r="H884" s="31">
        <v>0</v>
      </c>
      <c r="I884" s="31">
        <v>2</v>
      </c>
      <c r="J884" s="31">
        <f t="shared" si="51"/>
        <v>2</v>
      </c>
      <c r="K884" s="28">
        <v>278000</v>
      </c>
      <c r="L884" s="29">
        <v>0.81</v>
      </c>
      <c r="M884" s="31">
        <f t="shared" si="52"/>
        <v>225180.00000000003</v>
      </c>
      <c r="N884" s="28">
        <f t="shared" si="50"/>
        <v>52819.999999999985</v>
      </c>
    </row>
    <row r="885" spans="1:14" x14ac:dyDescent="0.35">
      <c r="A885">
        <v>726408</v>
      </c>
      <c r="B885" t="s">
        <v>1979</v>
      </c>
      <c r="C885" t="s">
        <v>679</v>
      </c>
      <c r="D885" t="s">
        <v>1094</v>
      </c>
      <c r="E885" s="30" t="s">
        <v>14</v>
      </c>
      <c r="F885" s="31">
        <v>0</v>
      </c>
      <c r="G885" s="31">
        <v>0</v>
      </c>
      <c r="H885" s="31">
        <v>0</v>
      </c>
      <c r="I885" s="31">
        <v>1</v>
      </c>
      <c r="J885" s="31">
        <f t="shared" si="51"/>
        <v>1</v>
      </c>
      <c r="K885" s="28">
        <v>278000</v>
      </c>
      <c r="L885" s="29">
        <v>0.81</v>
      </c>
      <c r="M885" s="31">
        <f t="shared" si="52"/>
        <v>225180.00000000003</v>
      </c>
      <c r="N885" s="28">
        <f t="shared" si="50"/>
        <v>52819.999999999985</v>
      </c>
    </row>
    <row r="886" spans="1:14" x14ac:dyDescent="0.35">
      <c r="A886">
        <v>726410</v>
      </c>
      <c r="B886" t="s">
        <v>1980</v>
      </c>
      <c r="C886" t="s">
        <v>679</v>
      </c>
      <c r="D886" t="s">
        <v>1094</v>
      </c>
      <c r="E886" s="30" t="s">
        <v>14</v>
      </c>
      <c r="F886" s="31">
        <v>0</v>
      </c>
      <c r="G886" s="31">
        <v>0</v>
      </c>
      <c r="H886" s="31">
        <v>0</v>
      </c>
      <c r="I886" s="31">
        <v>1</v>
      </c>
      <c r="J886" s="31">
        <f t="shared" si="51"/>
        <v>1</v>
      </c>
      <c r="K886" s="28">
        <v>278000</v>
      </c>
      <c r="L886" s="29">
        <v>0.81</v>
      </c>
      <c r="M886" s="31">
        <f t="shared" si="52"/>
        <v>225180.00000000003</v>
      </c>
      <c r="N886" s="28">
        <f t="shared" si="50"/>
        <v>52819.999999999985</v>
      </c>
    </row>
    <row r="887" spans="1:14" x14ac:dyDescent="0.35">
      <c r="A887">
        <v>726411</v>
      </c>
      <c r="B887" t="s">
        <v>1981</v>
      </c>
      <c r="C887" t="s">
        <v>679</v>
      </c>
      <c r="D887" t="s">
        <v>1094</v>
      </c>
      <c r="E887" s="30" t="s">
        <v>14</v>
      </c>
      <c r="F887" s="31">
        <v>0</v>
      </c>
      <c r="G887" s="31">
        <v>0</v>
      </c>
      <c r="H887" s="31">
        <v>0</v>
      </c>
      <c r="I887" s="31">
        <v>1</v>
      </c>
      <c r="J887" s="31">
        <f t="shared" si="51"/>
        <v>1</v>
      </c>
      <c r="K887" s="28">
        <v>278000</v>
      </c>
      <c r="L887" s="29">
        <v>0.81</v>
      </c>
      <c r="M887" s="31">
        <f t="shared" si="52"/>
        <v>225180.00000000003</v>
      </c>
      <c r="N887" s="28">
        <f t="shared" si="50"/>
        <v>52819.999999999985</v>
      </c>
    </row>
    <row r="888" spans="1:14" x14ac:dyDescent="0.35">
      <c r="A888">
        <v>726412</v>
      </c>
      <c r="B888" t="s">
        <v>1982</v>
      </c>
      <c r="C888" t="s">
        <v>679</v>
      </c>
      <c r="D888" t="s">
        <v>1094</v>
      </c>
      <c r="E888" s="30" t="s">
        <v>14</v>
      </c>
      <c r="F888" s="31">
        <v>0</v>
      </c>
      <c r="G888" s="31">
        <v>0</v>
      </c>
      <c r="H888" s="31">
        <v>0</v>
      </c>
      <c r="I888" s="31">
        <v>1</v>
      </c>
      <c r="J888" s="31">
        <f t="shared" si="51"/>
        <v>1</v>
      </c>
      <c r="K888" s="28">
        <v>278000</v>
      </c>
      <c r="L888" s="29">
        <v>0.81</v>
      </c>
      <c r="M888" s="31">
        <f t="shared" si="52"/>
        <v>225180.00000000003</v>
      </c>
      <c r="N888" s="28">
        <f t="shared" si="50"/>
        <v>52819.999999999985</v>
      </c>
    </row>
    <row r="889" spans="1:14" x14ac:dyDescent="0.35">
      <c r="A889">
        <v>726416</v>
      </c>
      <c r="B889" t="s">
        <v>1983</v>
      </c>
      <c r="C889" t="s">
        <v>679</v>
      </c>
      <c r="D889" t="s">
        <v>1094</v>
      </c>
      <c r="E889" s="30" t="s">
        <v>14</v>
      </c>
      <c r="F889" s="31">
        <v>0</v>
      </c>
      <c r="G889" s="31">
        <v>0</v>
      </c>
      <c r="H889" s="31">
        <v>0</v>
      </c>
      <c r="I889" s="31">
        <v>2</v>
      </c>
      <c r="J889" s="31">
        <f t="shared" si="51"/>
        <v>2</v>
      </c>
      <c r="K889" s="28">
        <v>928000</v>
      </c>
      <c r="L889" s="29">
        <v>0.81</v>
      </c>
      <c r="M889" s="31">
        <f t="shared" si="52"/>
        <v>751680</v>
      </c>
      <c r="N889" s="28">
        <f t="shared" si="50"/>
        <v>176319.99999999994</v>
      </c>
    </row>
    <row r="890" spans="1:14" x14ac:dyDescent="0.35">
      <c r="A890">
        <v>726417</v>
      </c>
      <c r="B890" t="s">
        <v>1984</v>
      </c>
      <c r="C890" t="s">
        <v>679</v>
      </c>
      <c r="D890" t="s">
        <v>1094</v>
      </c>
      <c r="E890" s="30" t="s">
        <v>14</v>
      </c>
      <c r="F890" s="31">
        <v>0</v>
      </c>
      <c r="G890" s="31">
        <v>0</v>
      </c>
      <c r="H890" s="31">
        <v>0</v>
      </c>
      <c r="I890" s="31">
        <v>2</v>
      </c>
      <c r="J890" s="31">
        <f t="shared" si="51"/>
        <v>2</v>
      </c>
      <c r="K890" s="28">
        <v>728000</v>
      </c>
      <c r="L890" s="29">
        <v>0.81</v>
      </c>
      <c r="M890" s="31">
        <f t="shared" si="52"/>
        <v>589680</v>
      </c>
      <c r="N890" s="28">
        <f t="shared" si="50"/>
        <v>138319.99999999997</v>
      </c>
    </row>
    <row r="891" spans="1:14" x14ac:dyDescent="0.35">
      <c r="A891">
        <v>726418</v>
      </c>
      <c r="B891" t="s">
        <v>1985</v>
      </c>
      <c r="C891" t="s">
        <v>679</v>
      </c>
      <c r="D891" t="s">
        <v>1094</v>
      </c>
      <c r="E891" s="30" t="s">
        <v>14</v>
      </c>
      <c r="F891" s="31">
        <v>0</v>
      </c>
      <c r="G891" s="31">
        <v>0</v>
      </c>
      <c r="H891" s="31">
        <v>0</v>
      </c>
      <c r="I891" s="31">
        <v>2</v>
      </c>
      <c r="J891" s="31">
        <f t="shared" si="51"/>
        <v>2</v>
      </c>
      <c r="K891" s="28">
        <v>598000</v>
      </c>
      <c r="L891" s="29">
        <v>0.81</v>
      </c>
      <c r="M891" s="31">
        <f t="shared" si="52"/>
        <v>484380.00000000006</v>
      </c>
      <c r="N891" s="28">
        <f t="shared" si="50"/>
        <v>113619.99999999997</v>
      </c>
    </row>
    <row r="892" spans="1:14" x14ac:dyDescent="0.35">
      <c r="A892">
        <v>726419</v>
      </c>
      <c r="B892" t="s">
        <v>1986</v>
      </c>
      <c r="C892" t="s">
        <v>679</v>
      </c>
      <c r="D892" t="s">
        <v>1094</v>
      </c>
      <c r="E892" s="30" t="s">
        <v>14</v>
      </c>
      <c r="F892" s="31">
        <v>0</v>
      </c>
      <c r="G892" s="31">
        <v>0</v>
      </c>
      <c r="H892" s="31">
        <v>0</v>
      </c>
      <c r="I892" s="31">
        <v>2</v>
      </c>
      <c r="J892" s="31">
        <f t="shared" si="51"/>
        <v>2</v>
      </c>
      <c r="K892" s="28">
        <v>598000</v>
      </c>
      <c r="L892" s="29">
        <v>0.81</v>
      </c>
      <c r="M892" s="31">
        <f t="shared" si="52"/>
        <v>484380.00000000006</v>
      </c>
      <c r="N892" s="28">
        <f t="shared" si="50"/>
        <v>113619.99999999997</v>
      </c>
    </row>
    <row r="893" spans="1:14" x14ac:dyDescent="0.35">
      <c r="A893">
        <v>726421</v>
      </c>
      <c r="B893" t="s">
        <v>1987</v>
      </c>
      <c r="C893" t="s">
        <v>679</v>
      </c>
      <c r="D893" t="s">
        <v>1094</v>
      </c>
      <c r="E893" s="30" t="s">
        <v>14</v>
      </c>
      <c r="F893" s="31">
        <v>0</v>
      </c>
      <c r="G893" s="31">
        <v>0</v>
      </c>
      <c r="H893" s="31">
        <v>0</v>
      </c>
      <c r="I893" s="31">
        <v>1</v>
      </c>
      <c r="J893" s="31">
        <f t="shared" si="51"/>
        <v>1</v>
      </c>
      <c r="K893" s="28">
        <v>228000</v>
      </c>
      <c r="L893" s="29">
        <v>0.81</v>
      </c>
      <c r="M893" s="31">
        <f t="shared" si="52"/>
        <v>184680</v>
      </c>
      <c r="N893" s="28">
        <f t="shared" si="50"/>
        <v>43319.999999999985</v>
      </c>
    </row>
    <row r="894" spans="1:14" x14ac:dyDescent="0.35">
      <c r="A894">
        <v>726422</v>
      </c>
      <c r="B894" t="s">
        <v>1988</v>
      </c>
      <c r="C894" t="s">
        <v>679</v>
      </c>
      <c r="D894" t="s">
        <v>1094</v>
      </c>
      <c r="E894" s="30" t="s">
        <v>14</v>
      </c>
      <c r="F894" s="31">
        <v>0</v>
      </c>
      <c r="G894" s="31">
        <v>0</v>
      </c>
      <c r="H894" s="31">
        <v>0</v>
      </c>
      <c r="I894" s="31">
        <v>4</v>
      </c>
      <c r="J894" s="31">
        <f t="shared" si="51"/>
        <v>4</v>
      </c>
      <c r="K894" s="28">
        <v>228000</v>
      </c>
      <c r="L894" s="29">
        <v>0.81</v>
      </c>
      <c r="M894" s="31">
        <f t="shared" si="52"/>
        <v>184680</v>
      </c>
      <c r="N894" s="28">
        <f t="shared" si="50"/>
        <v>43319.999999999985</v>
      </c>
    </row>
    <row r="895" spans="1:14" x14ac:dyDescent="0.35">
      <c r="A895">
        <v>726423</v>
      </c>
      <c r="B895" t="s">
        <v>1989</v>
      </c>
      <c r="C895" t="s">
        <v>679</v>
      </c>
      <c r="D895" t="s">
        <v>1094</v>
      </c>
      <c r="E895" s="30" t="s">
        <v>14</v>
      </c>
      <c r="F895" s="31">
        <v>0</v>
      </c>
      <c r="G895" s="31">
        <v>0</v>
      </c>
      <c r="H895" s="31">
        <v>0</v>
      </c>
      <c r="I895" s="31">
        <v>6</v>
      </c>
      <c r="J895" s="31">
        <f t="shared" si="51"/>
        <v>6</v>
      </c>
      <c r="K895" s="28">
        <v>74000</v>
      </c>
      <c r="L895" s="29">
        <v>0.81</v>
      </c>
      <c r="M895" s="31">
        <f t="shared" si="52"/>
        <v>59940.000000000007</v>
      </c>
      <c r="N895" s="28">
        <f t="shared" si="50"/>
        <v>14059.999999999996</v>
      </c>
    </row>
    <row r="896" spans="1:14" x14ac:dyDescent="0.35">
      <c r="A896">
        <v>726424</v>
      </c>
      <c r="B896" t="s">
        <v>1990</v>
      </c>
      <c r="C896" t="s">
        <v>679</v>
      </c>
      <c r="D896" t="s">
        <v>1094</v>
      </c>
      <c r="E896" s="30" t="s">
        <v>14</v>
      </c>
      <c r="F896" s="31">
        <v>0</v>
      </c>
      <c r="G896" s="31">
        <v>0</v>
      </c>
      <c r="H896" s="31">
        <v>0</v>
      </c>
      <c r="I896" s="31">
        <v>1</v>
      </c>
      <c r="J896" s="31">
        <f t="shared" si="51"/>
        <v>1</v>
      </c>
      <c r="K896" s="28">
        <v>74000</v>
      </c>
      <c r="L896" s="29">
        <v>0.81</v>
      </c>
      <c r="M896" s="31">
        <f t="shared" si="52"/>
        <v>59940.000000000007</v>
      </c>
      <c r="N896" s="28">
        <f t="shared" si="50"/>
        <v>14059.999999999996</v>
      </c>
    </row>
    <row r="897" spans="1:14" x14ac:dyDescent="0.35">
      <c r="A897">
        <v>726425</v>
      </c>
      <c r="B897" t="s">
        <v>1991</v>
      </c>
      <c r="C897" t="s">
        <v>679</v>
      </c>
      <c r="D897" t="s">
        <v>1094</v>
      </c>
      <c r="E897" s="30" t="s">
        <v>14</v>
      </c>
      <c r="F897" s="31">
        <v>0</v>
      </c>
      <c r="G897" s="31">
        <v>0</v>
      </c>
      <c r="H897" s="31">
        <v>0</v>
      </c>
      <c r="I897" s="31">
        <v>1</v>
      </c>
      <c r="J897" s="31">
        <f t="shared" si="51"/>
        <v>1</v>
      </c>
      <c r="K897" s="28">
        <v>74000</v>
      </c>
      <c r="L897" s="29">
        <v>0.81</v>
      </c>
      <c r="M897" s="31">
        <f t="shared" si="52"/>
        <v>59940.000000000007</v>
      </c>
      <c r="N897" s="28">
        <f t="shared" si="50"/>
        <v>14059.999999999996</v>
      </c>
    </row>
    <row r="898" spans="1:14" x14ac:dyDescent="0.35">
      <c r="A898">
        <v>726426</v>
      </c>
      <c r="B898" t="s">
        <v>1992</v>
      </c>
      <c r="C898" t="s">
        <v>679</v>
      </c>
      <c r="D898" t="s">
        <v>1094</v>
      </c>
      <c r="E898" s="30" t="s">
        <v>14</v>
      </c>
      <c r="F898" s="31">
        <v>0</v>
      </c>
      <c r="G898" s="31">
        <v>0</v>
      </c>
      <c r="H898" s="31">
        <v>0</v>
      </c>
      <c r="I898" s="31">
        <v>1</v>
      </c>
      <c r="J898" s="31">
        <f t="shared" si="51"/>
        <v>1</v>
      </c>
      <c r="K898" s="28">
        <v>74000</v>
      </c>
      <c r="L898" s="29">
        <v>0.81</v>
      </c>
      <c r="M898" s="31">
        <f t="shared" si="52"/>
        <v>59940.000000000007</v>
      </c>
      <c r="N898" s="28">
        <f t="shared" si="50"/>
        <v>14059.999999999996</v>
      </c>
    </row>
    <row r="899" spans="1:14" x14ac:dyDescent="0.35">
      <c r="A899">
        <v>726427</v>
      </c>
      <c r="B899" t="s">
        <v>1993</v>
      </c>
      <c r="C899" t="s">
        <v>679</v>
      </c>
      <c r="D899" t="s">
        <v>1094</v>
      </c>
      <c r="E899" s="30" t="s">
        <v>14</v>
      </c>
      <c r="F899" s="31">
        <v>0</v>
      </c>
      <c r="G899" s="31">
        <v>0</v>
      </c>
      <c r="H899" s="31">
        <v>0</v>
      </c>
      <c r="I899" s="31">
        <v>3</v>
      </c>
      <c r="J899" s="31">
        <f t="shared" si="51"/>
        <v>3</v>
      </c>
      <c r="K899" s="28">
        <v>118000</v>
      </c>
      <c r="L899" s="29">
        <v>0.81</v>
      </c>
      <c r="M899" s="31">
        <f t="shared" si="52"/>
        <v>95580</v>
      </c>
      <c r="N899" s="28">
        <f t="shared" ref="N899:N915" si="53">K899*(1-L899)</f>
        <v>22419.999999999993</v>
      </c>
    </row>
    <row r="900" spans="1:14" x14ac:dyDescent="0.35">
      <c r="A900">
        <v>726428</v>
      </c>
      <c r="B900" t="s">
        <v>1994</v>
      </c>
      <c r="C900" t="s">
        <v>679</v>
      </c>
      <c r="D900" t="s">
        <v>1094</v>
      </c>
      <c r="E900" s="30" t="s">
        <v>14</v>
      </c>
      <c r="F900" s="31">
        <v>0</v>
      </c>
      <c r="G900" s="31">
        <v>0</v>
      </c>
      <c r="H900" s="31">
        <v>1</v>
      </c>
      <c r="I900" s="31">
        <v>8</v>
      </c>
      <c r="J900" s="31">
        <f t="shared" ref="J900:J963" si="54">SUM(F900:I900)</f>
        <v>9</v>
      </c>
      <c r="K900" s="28">
        <v>94000</v>
      </c>
      <c r="L900" s="29">
        <v>0.81</v>
      </c>
      <c r="M900" s="31">
        <f t="shared" ref="M900:M963" si="55">K900*L900</f>
        <v>76140</v>
      </c>
      <c r="N900" s="28">
        <f t="shared" si="53"/>
        <v>17859.999999999996</v>
      </c>
    </row>
    <row r="901" spans="1:14" x14ac:dyDescent="0.35">
      <c r="A901">
        <v>726429</v>
      </c>
      <c r="B901" t="s">
        <v>1995</v>
      </c>
      <c r="C901" t="s">
        <v>679</v>
      </c>
      <c r="D901" t="s">
        <v>1094</v>
      </c>
      <c r="E901" s="30" t="s">
        <v>14</v>
      </c>
      <c r="F901" s="31">
        <v>0</v>
      </c>
      <c r="G901" s="31">
        <v>0</v>
      </c>
      <c r="H901" s="31">
        <v>0</v>
      </c>
      <c r="I901" s="31">
        <v>2</v>
      </c>
      <c r="J901" s="31">
        <f t="shared" si="54"/>
        <v>2</v>
      </c>
      <c r="K901" s="28">
        <v>548000</v>
      </c>
      <c r="L901" s="29">
        <v>0.81</v>
      </c>
      <c r="M901" s="31">
        <f t="shared" si="55"/>
        <v>443880.00000000006</v>
      </c>
      <c r="N901" s="28">
        <f t="shared" si="53"/>
        <v>104119.99999999997</v>
      </c>
    </row>
    <row r="902" spans="1:14" x14ac:dyDescent="0.35">
      <c r="A902">
        <v>726430</v>
      </c>
      <c r="B902" t="s">
        <v>1996</v>
      </c>
      <c r="C902" t="s">
        <v>679</v>
      </c>
      <c r="D902" t="s">
        <v>1094</v>
      </c>
      <c r="E902" s="30" t="s">
        <v>14</v>
      </c>
      <c r="F902" s="31">
        <v>0</v>
      </c>
      <c r="G902" s="31">
        <v>0</v>
      </c>
      <c r="H902" s="31">
        <v>0</v>
      </c>
      <c r="I902" s="31">
        <v>2</v>
      </c>
      <c r="J902" s="31">
        <f t="shared" si="54"/>
        <v>2</v>
      </c>
      <c r="K902" s="28">
        <v>548000</v>
      </c>
      <c r="L902" s="29">
        <v>0.81</v>
      </c>
      <c r="M902" s="31">
        <f t="shared" si="55"/>
        <v>443880.00000000006</v>
      </c>
      <c r="N902" s="28">
        <f t="shared" si="53"/>
        <v>104119.99999999997</v>
      </c>
    </row>
    <row r="903" spans="1:14" x14ac:dyDescent="0.35">
      <c r="A903">
        <v>726431</v>
      </c>
      <c r="B903" t="s">
        <v>1997</v>
      </c>
      <c r="C903" t="s">
        <v>679</v>
      </c>
      <c r="D903" t="s">
        <v>1094</v>
      </c>
      <c r="E903" s="30" t="s">
        <v>14</v>
      </c>
      <c r="F903" s="31">
        <v>0</v>
      </c>
      <c r="G903" s="31">
        <v>0</v>
      </c>
      <c r="H903" s="31">
        <v>0</v>
      </c>
      <c r="I903" s="31">
        <v>4</v>
      </c>
      <c r="J903" s="31">
        <f t="shared" si="54"/>
        <v>4</v>
      </c>
      <c r="K903" s="28">
        <v>448000</v>
      </c>
      <c r="L903" s="29">
        <v>0.81</v>
      </c>
      <c r="M903" s="31">
        <f t="shared" si="55"/>
        <v>362880</v>
      </c>
      <c r="N903" s="28">
        <f t="shared" si="53"/>
        <v>85119.999999999971</v>
      </c>
    </row>
    <row r="904" spans="1:14" x14ac:dyDescent="0.35">
      <c r="A904">
        <v>726432</v>
      </c>
      <c r="B904" t="s">
        <v>1998</v>
      </c>
      <c r="C904" t="s">
        <v>679</v>
      </c>
      <c r="D904" t="s">
        <v>1094</v>
      </c>
      <c r="E904" s="30" t="s">
        <v>14</v>
      </c>
      <c r="F904" s="31">
        <v>0</v>
      </c>
      <c r="G904" s="31">
        <v>0</v>
      </c>
      <c r="H904" s="31">
        <v>0</v>
      </c>
      <c r="I904" s="31">
        <v>4</v>
      </c>
      <c r="J904" s="31">
        <f t="shared" si="54"/>
        <v>4</v>
      </c>
      <c r="K904" s="28">
        <v>748000</v>
      </c>
      <c r="L904" s="29">
        <v>0.81</v>
      </c>
      <c r="M904" s="31">
        <f t="shared" si="55"/>
        <v>605880</v>
      </c>
      <c r="N904" s="28">
        <f t="shared" si="53"/>
        <v>142119.99999999997</v>
      </c>
    </row>
    <row r="905" spans="1:14" x14ac:dyDescent="0.35">
      <c r="A905">
        <v>726452</v>
      </c>
      <c r="B905" t="s">
        <v>1999</v>
      </c>
      <c r="C905" t="s">
        <v>679</v>
      </c>
      <c r="D905" t="s">
        <v>1094</v>
      </c>
      <c r="E905" s="30" t="s">
        <v>14</v>
      </c>
      <c r="F905" s="31">
        <v>0</v>
      </c>
      <c r="G905" s="31">
        <v>0</v>
      </c>
      <c r="H905" s="31">
        <v>0</v>
      </c>
      <c r="I905" s="31">
        <v>2</v>
      </c>
      <c r="J905" s="31">
        <f t="shared" si="54"/>
        <v>2</v>
      </c>
      <c r="K905" s="28">
        <v>598000</v>
      </c>
      <c r="L905" s="29">
        <v>0.81</v>
      </c>
      <c r="M905" s="31">
        <f t="shared" si="55"/>
        <v>484380.00000000006</v>
      </c>
      <c r="N905" s="28">
        <f t="shared" si="53"/>
        <v>113619.99999999997</v>
      </c>
    </row>
    <row r="906" spans="1:14" x14ac:dyDescent="0.35">
      <c r="A906">
        <v>726454</v>
      </c>
      <c r="B906" t="s">
        <v>2000</v>
      </c>
      <c r="C906" t="s">
        <v>679</v>
      </c>
      <c r="D906" t="s">
        <v>1094</v>
      </c>
      <c r="E906" s="30" t="s">
        <v>14</v>
      </c>
      <c r="F906" s="31">
        <v>0</v>
      </c>
      <c r="G906" s="31">
        <v>0</v>
      </c>
      <c r="H906" s="31">
        <v>0</v>
      </c>
      <c r="I906" s="31">
        <v>1</v>
      </c>
      <c r="J906" s="31">
        <f t="shared" si="54"/>
        <v>1</v>
      </c>
      <c r="K906" s="28">
        <v>278000</v>
      </c>
      <c r="L906" s="29">
        <v>0.81</v>
      </c>
      <c r="M906" s="31">
        <f t="shared" si="55"/>
        <v>225180.00000000003</v>
      </c>
      <c r="N906" s="28">
        <f t="shared" si="53"/>
        <v>52819.999999999985</v>
      </c>
    </row>
    <row r="907" spans="1:14" x14ac:dyDescent="0.35">
      <c r="A907">
        <v>726455</v>
      </c>
      <c r="B907" t="s">
        <v>2001</v>
      </c>
      <c r="C907" t="s">
        <v>679</v>
      </c>
      <c r="D907" t="s">
        <v>1094</v>
      </c>
      <c r="E907" s="30" t="s">
        <v>14</v>
      </c>
      <c r="F907" s="31">
        <v>0</v>
      </c>
      <c r="G907" s="31">
        <v>0</v>
      </c>
      <c r="H907" s="31">
        <v>0</v>
      </c>
      <c r="I907" s="31">
        <v>1</v>
      </c>
      <c r="J907" s="31">
        <f t="shared" si="54"/>
        <v>1</v>
      </c>
      <c r="K907" s="28">
        <v>278000</v>
      </c>
      <c r="L907" s="29">
        <v>0.81</v>
      </c>
      <c r="M907" s="31">
        <f t="shared" si="55"/>
        <v>225180.00000000003</v>
      </c>
      <c r="N907" s="28">
        <f t="shared" si="53"/>
        <v>52819.999999999985</v>
      </c>
    </row>
    <row r="908" spans="1:14" x14ac:dyDescent="0.35">
      <c r="A908">
        <v>726456</v>
      </c>
      <c r="B908" t="s">
        <v>2002</v>
      </c>
      <c r="C908" t="s">
        <v>679</v>
      </c>
      <c r="D908" t="s">
        <v>1094</v>
      </c>
      <c r="E908" s="30" t="s">
        <v>14</v>
      </c>
      <c r="F908" s="31">
        <v>0</v>
      </c>
      <c r="G908" s="31">
        <v>0</v>
      </c>
      <c r="H908" s="31">
        <v>0</v>
      </c>
      <c r="I908" s="31">
        <v>3</v>
      </c>
      <c r="J908" s="31">
        <f t="shared" si="54"/>
        <v>3</v>
      </c>
      <c r="K908" s="28">
        <v>348000</v>
      </c>
      <c r="L908" s="29">
        <v>0.81</v>
      </c>
      <c r="M908" s="31">
        <f t="shared" si="55"/>
        <v>281880</v>
      </c>
      <c r="N908" s="28">
        <f t="shared" si="53"/>
        <v>66119.999999999985</v>
      </c>
    </row>
    <row r="909" spans="1:14" x14ac:dyDescent="0.35">
      <c r="A909">
        <v>726900</v>
      </c>
      <c r="B909" t="s">
        <v>2003</v>
      </c>
      <c r="C909" t="s">
        <v>679</v>
      </c>
      <c r="D909" t="s">
        <v>1094</v>
      </c>
      <c r="E909" s="30" t="s">
        <v>14</v>
      </c>
      <c r="F909" s="31">
        <v>0</v>
      </c>
      <c r="G909" s="31">
        <v>0</v>
      </c>
      <c r="H909" s="31">
        <v>0</v>
      </c>
      <c r="I909" s="31">
        <v>4</v>
      </c>
      <c r="J909" s="31">
        <f t="shared" si="54"/>
        <v>4</v>
      </c>
      <c r="K909" s="28">
        <v>148000</v>
      </c>
      <c r="L909" s="29">
        <v>0.81</v>
      </c>
      <c r="M909" s="31">
        <f t="shared" si="55"/>
        <v>119880.00000000001</v>
      </c>
      <c r="N909" s="28">
        <f t="shared" si="53"/>
        <v>28119.999999999993</v>
      </c>
    </row>
    <row r="910" spans="1:14" x14ac:dyDescent="0.35">
      <c r="A910">
        <v>726956</v>
      </c>
      <c r="B910" t="s">
        <v>2004</v>
      </c>
      <c r="C910" t="s">
        <v>679</v>
      </c>
      <c r="D910" t="s">
        <v>1094</v>
      </c>
      <c r="E910" s="30" t="s">
        <v>14</v>
      </c>
      <c r="F910" s="31">
        <v>0</v>
      </c>
      <c r="G910" s="31">
        <v>0</v>
      </c>
      <c r="H910" s="31">
        <v>0</v>
      </c>
      <c r="I910" s="31">
        <v>1</v>
      </c>
      <c r="J910" s="31">
        <f t="shared" si="54"/>
        <v>1</v>
      </c>
      <c r="K910" s="28">
        <v>278000</v>
      </c>
      <c r="L910" s="29">
        <v>0.81</v>
      </c>
      <c r="M910" s="31">
        <f t="shared" si="55"/>
        <v>225180.00000000003</v>
      </c>
      <c r="N910" s="28">
        <f t="shared" si="53"/>
        <v>52819.999999999985</v>
      </c>
    </row>
    <row r="911" spans="1:14" x14ac:dyDescent="0.35">
      <c r="A911">
        <v>727302</v>
      </c>
      <c r="B911" t="s">
        <v>2005</v>
      </c>
      <c r="C911" t="s">
        <v>679</v>
      </c>
      <c r="D911" t="s">
        <v>1094</v>
      </c>
      <c r="E911" s="30" t="s">
        <v>14</v>
      </c>
      <c r="F911" s="31">
        <v>0</v>
      </c>
      <c r="G911" s="31">
        <v>2</v>
      </c>
      <c r="H911" s="31">
        <v>2</v>
      </c>
      <c r="I911" s="31">
        <v>0</v>
      </c>
      <c r="J911" s="31">
        <f t="shared" si="54"/>
        <v>4</v>
      </c>
      <c r="K911" s="28">
        <v>978000</v>
      </c>
      <c r="L911" s="29">
        <v>0.81</v>
      </c>
      <c r="M911" s="31">
        <f t="shared" si="55"/>
        <v>792180</v>
      </c>
      <c r="N911" s="28">
        <f t="shared" si="53"/>
        <v>185819.99999999994</v>
      </c>
    </row>
    <row r="912" spans="1:14" x14ac:dyDescent="0.35">
      <c r="A912">
        <v>727303</v>
      </c>
      <c r="B912" t="s">
        <v>2006</v>
      </c>
      <c r="C912" t="s">
        <v>679</v>
      </c>
      <c r="D912" t="s">
        <v>1094</v>
      </c>
      <c r="E912" s="30" t="s">
        <v>14</v>
      </c>
      <c r="F912" s="31">
        <v>0</v>
      </c>
      <c r="G912" s="31">
        <v>2</v>
      </c>
      <c r="H912" s="31">
        <v>2</v>
      </c>
      <c r="I912" s="31">
        <v>0</v>
      </c>
      <c r="J912" s="31">
        <f t="shared" si="54"/>
        <v>4</v>
      </c>
      <c r="K912" s="28">
        <v>978000</v>
      </c>
      <c r="L912" s="29">
        <v>0.81</v>
      </c>
      <c r="M912" s="31">
        <f t="shared" si="55"/>
        <v>792180</v>
      </c>
      <c r="N912" s="28">
        <f t="shared" si="53"/>
        <v>185819.99999999994</v>
      </c>
    </row>
    <row r="913" spans="1:15" x14ac:dyDescent="0.35">
      <c r="A913">
        <v>727481</v>
      </c>
      <c r="B913" t="s">
        <v>2007</v>
      </c>
      <c r="C913" t="s">
        <v>679</v>
      </c>
      <c r="D913" t="s">
        <v>1094</v>
      </c>
      <c r="E913" s="30" t="s">
        <v>14</v>
      </c>
      <c r="F913" s="31">
        <v>0</v>
      </c>
      <c r="G913" s="31">
        <v>0</v>
      </c>
      <c r="H913" s="31">
        <v>0</v>
      </c>
      <c r="I913" s="31">
        <v>1</v>
      </c>
      <c r="J913" s="31">
        <f t="shared" si="54"/>
        <v>1</v>
      </c>
      <c r="K913" s="28">
        <v>158000</v>
      </c>
      <c r="L913" s="29">
        <v>0.81</v>
      </c>
      <c r="M913" s="31">
        <f t="shared" si="55"/>
        <v>127980.00000000001</v>
      </c>
      <c r="N913" s="28">
        <f t="shared" si="53"/>
        <v>30019.999999999993</v>
      </c>
    </row>
    <row r="914" spans="1:15" x14ac:dyDescent="0.35">
      <c r="A914">
        <v>729523</v>
      </c>
      <c r="B914" t="s">
        <v>2008</v>
      </c>
      <c r="C914" t="s">
        <v>679</v>
      </c>
      <c r="D914" t="s">
        <v>1094</v>
      </c>
      <c r="E914" s="30" t="s">
        <v>14</v>
      </c>
      <c r="F914" s="31">
        <v>0</v>
      </c>
      <c r="G914" s="31">
        <v>0</v>
      </c>
      <c r="H914" s="31">
        <v>0</v>
      </c>
      <c r="I914" s="31">
        <v>34</v>
      </c>
      <c r="J914" s="31">
        <f t="shared" si="54"/>
        <v>34</v>
      </c>
      <c r="K914" s="28">
        <v>12000</v>
      </c>
      <c r="L914" s="29">
        <v>0.81</v>
      </c>
      <c r="M914" s="31">
        <f t="shared" si="55"/>
        <v>9720</v>
      </c>
      <c r="N914" s="28">
        <f t="shared" si="53"/>
        <v>2279.9999999999995</v>
      </c>
    </row>
    <row r="915" spans="1:15" x14ac:dyDescent="0.35">
      <c r="A915">
        <v>700033</v>
      </c>
      <c r="B915" t="s">
        <v>1095</v>
      </c>
      <c r="C915" t="s">
        <v>1096</v>
      </c>
      <c r="D915" t="s">
        <v>1097</v>
      </c>
      <c r="E915" s="30" t="s">
        <v>14</v>
      </c>
      <c r="F915" s="31">
        <v>0</v>
      </c>
      <c r="G915" s="31">
        <v>0</v>
      </c>
      <c r="H915" s="31">
        <v>0</v>
      </c>
      <c r="I915" s="31">
        <v>2</v>
      </c>
      <c r="J915" s="31">
        <f t="shared" si="54"/>
        <v>2</v>
      </c>
      <c r="K915" s="28">
        <v>34000</v>
      </c>
      <c r="L915" s="29">
        <v>0.81</v>
      </c>
      <c r="M915" s="31">
        <f t="shared" si="55"/>
        <v>27540</v>
      </c>
      <c r="N915" s="28">
        <f t="shared" si="53"/>
        <v>6459.9999999999982</v>
      </c>
      <c r="O915" s="28">
        <v>27200</v>
      </c>
    </row>
    <row r="916" spans="1:15" x14ac:dyDescent="0.35">
      <c r="A916">
        <v>738775</v>
      </c>
      <c r="B916" t="s">
        <v>1098</v>
      </c>
      <c r="C916" t="s">
        <v>365</v>
      </c>
      <c r="D916" t="s">
        <v>1097</v>
      </c>
      <c r="E916" s="30" t="s">
        <v>14</v>
      </c>
      <c r="F916" s="31">
        <v>0</v>
      </c>
      <c r="G916" s="31">
        <v>608</v>
      </c>
      <c r="H916" s="31">
        <v>0</v>
      </c>
      <c r="I916" s="31">
        <v>128</v>
      </c>
      <c r="J916" s="31">
        <f t="shared" si="54"/>
        <v>736</v>
      </c>
      <c r="K916" s="28">
        <v>99000</v>
      </c>
      <c r="L916" s="29">
        <v>0.45</v>
      </c>
      <c r="M916" s="31">
        <f t="shared" si="55"/>
        <v>44550</v>
      </c>
      <c r="N916" s="28">
        <f t="shared" ref="N899:N962" si="56">K916*(1-L916)</f>
        <v>54450.000000000007</v>
      </c>
      <c r="O916" s="28">
        <v>79200</v>
      </c>
    </row>
    <row r="917" spans="1:15" x14ac:dyDescent="0.35">
      <c r="A917">
        <v>738810</v>
      </c>
      <c r="B917" t="s">
        <v>1099</v>
      </c>
      <c r="C917" t="s">
        <v>365</v>
      </c>
      <c r="D917" t="s">
        <v>1097</v>
      </c>
      <c r="E917" s="30" t="s">
        <v>14</v>
      </c>
      <c r="F917" s="31">
        <v>0</v>
      </c>
      <c r="G917" s="31">
        <v>154</v>
      </c>
      <c r="H917" s="31">
        <v>0</v>
      </c>
      <c r="I917" s="31">
        <v>88</v>
      </c>
      <c r="J917" s="31">
        <f t="shared" si="54"/>
        <v>242</v>
      </c>
      <c r="K917" s="28">
        <v>99000</v>
      </c>
      <c r="L917" s="29">
        <v>0.45</v>
      </c>
      <c r="M917" s="31">
        <f t="shared" si="55"/>
        <v>44550</v>
      </c>
      <c r="N917" s="28">
        <f t="shared" si="56"/>
        <v>54450.000000000007</v>
      </c>
      <c r="O917" s="28">
        <v>79200</v>
      </c>
    </row>
    <row r="918" spans="1:15" x14ac:dyDescent="0.35">
      <c r="A918">
        <v>726854</v>
      </c>
      <c r="B918" t="s">
        <v>2009</v>
      </c>
      <c r="C918" t="s">
        <v>2010</v>
      </c>
      <c r="D918" t="s">
        <v>1097</v>
      </c>
      <c r="E918" s="30" t="s">
        <v>14</v>
      </c>
      <c r="F918" s="31">
        <v>0</v>
      </c>
      <c r="G918" s="31">
        <v>0</v>
      </c>
      <c r="H918" s="31">
        <v>0</v>
      </c>
      <c r="I918" s="31">
        <v>9</v>
      </c>
      <c r="J918" s="31">
        <f t="shared" si="54"/>
        <v>9</v>
      </c>
      <c r="K918" s="28">
        <v>548000</v>
      </c>
      <c r="L918" s="29">
        <v>0.81</v>
      </c>
      <c r="M918" s="31">
        <f t="shared" si="55"/>
        <v>443880.00000000006</v>
      </c>
      <c r="N918" s="28">
        <f t="shared" si="56"/>
        <v>104119.99999999997</v>
      </c>
    </row>
    <row r="919" spans="1:15" x14ac:dyDescent="0.35">
      <c r="A919">
        <v>729829</v>
      </c>
      <c r="B919" t="s">
        <v>2011</v>
      </c>
      <c r="C919" t="s">
        <v>2010</v>
      </c>
      <c r="D919" t="s">
        <v>1097</v>
      </c>
      <c r="E919" s="30" t="s">
        <v>14</v>
      </c>
      <c r="F919" s="31">
        <v>0</v>
      </c>
      <c r="G919" s="31">
        <v>0</v>
      </c>
      <c r="H919" s="31">
        <v>0</v>
      </c>
      <c r="I919" s="31">
        <v>20</v>
      </c>
      <c r="J919" s="31">
        <f t="shared" si="54"/>
        <v>20</v>
      </c>
      <c r="K919" s="28">
        <v>598000</v>
      </c>
      <c r="L919" s="29">
        <v>0.81</v>
      </c>
      <c r="M919" s="31">
        <f t="shared" si="55"/>
        <v>484380.00000000006</v>
      </c>
      <c r="N919" s="28">
        <f t="shared" si="56"/>
        <v>113619.99999999997</v>
      </c>
    </row>
    <row r="920" spans="1:15" x14ac:dyDescent="0.35">
      <c r="A920">
        <v>201191</v>
      </c>
      <c r="B920" t="s">
        <v>1100</v>
      </c>
      <c r="C920" t="s">
        <v>1101</v>
      </c>
      <c r="D920" t="s">
        <v>1097</v>
      </c>
      <c r="E920" s="30" t="s">
        <v>14</v>
      </c>
      <c r="F920" s="31">
        <v>0</v>
      </c>
      <c r="G920" s="31">
        <v>0</v>
      </c>
      <c r="H920" s="31">
        <v>0</v>
      </c>
      <c r="I920" s="31">
        <v>5</v>
      </c>
      <c r="J920" s="31">
        <f t="shared" si="54"/>
        <v>5</v>
      </c>
      <c r="K920" s="28">
        <v>35000</v>
      </c>
      <c r="L920" s="29">
        <v>0.81</v>
      </c>
      <c r="M920" s="31">
        <f t="shared" si="55"/>
        <v>28350.000000000004</v>
      </c>
      <c r="N920" s="28">
        <f t="shared" si="56"/>
        <v>6649.9999999999982</v>
      </c>
      <c r="O920" s="28">
        <v>28000</v>
      </c>
    </row>
    <row r="921" spans="1:15" x14ac:dyDescent="0.35">
      <c r="A921">
        <v>201193</v>
      </c>
      <c r="B921" t="s">
        <v>1102</v>
      </c>
      <c r="C921" t="s">
        <v>1101</v>
      </c>
      <c r="D921" t="s">
        <v>1097</v>
      </c>
      <c r="E921" s="30" t="s">
        <v>14</v>
      </c>
      <c r="F921" s="31">
        <v>0</v>
      </c>
      <c r="G921" s="31">
        <v>0</v>
      </c>
      <c r="H921" s="31">
        <v>0</v>
      </c>
      <c r="I921" s="31">
        <v>6</v>
      </c>
      <c r="J921" s="31">
        <f t="shared" si="54"/>
        <v>6</v>
      </c>
      <c r="K921" s="28">
        <v>35000</v>
      </c>
      <c r="L921" s="29">
        <v>0.81</v>
      </c>
      <c r="M921" s="31">
        <f t="shared" si="55"/>
        <v>28350.000000000004</v>
      </c>
      <c r="N921" s="28">
        <f t="shared" si="56"/>
        <v>6649.9999999999982</v>
      </c>
      <c r="O921" s="28">
        <v>28000</v>
      </c>
    </row>
    <row r="922" spans="1:15" x14ac:dyDescent="0.35">
      <c r="A922">
        <v>200020</v>
      </c>
      <c r="B922" t="s">
        <v>1103</v>
      </c>
      <c r="C922" t="s">
        <v>426</v>
      </c>
      <c r="D922" t="s">
        <v>1097</v>
      </c>
      <c r="E922" s="30" t="s">
        <v>14</v>
      </c>
      <c r="F922" s="31">
        <v>0</v>
      </c>
      <c r="G922" s="31">
        <v>0</v>
      </c>
      <c r="H922" s="31">
        <v>0</v>
      </c>
      <c r="I922" s="31">
        <v>159</v>
      </c>
      <c r="J922" s="31">
        <f t="shared" si="54"/>
        <v>159</v>
      </c>
      <c r="K922" s="28">
        <v>14000</v>
      </c>
      <c r="L922" s="29">
        <v>0.81</v>
      </c>
      <c r="M922" s="31">
        <f t="shared" si="55"/>
        <v>11340</v>
      </c>
      <c r="N922" s="28">
        <f t="shared" si="56"/>
        <v>2659.9999999999991</v>
      </c>
      <c r="O922" s="28">
        <v>10000</v>
      </c>
    </row>
    <row r="923" spans="1:15" x14ac:dyDescent="0.35">
      <c r="A923">
        <v>200024</v>
      </c>
      <c r="B923" t="s">
        <v>2012</v>
      </c>
      <c r="C923" t="s">
        <v>426</v>
      </c>
      <c r="D923" t="s">
        <v>1097</v>
      </c>
      <c r="E923" s="30" t="s">
        <v>14</v>
      </c>
      <c r="F923" s="31">
        <v>0</v>
      </c>
      <c r="G923" s="31">
        <v>0</v>
      </c>
      <c r="H923" s="31">
        <v>0</v>
      </c>
      <c r="I923" s="31">
        <v>1650</v>
      </c>
      <c r="J923" s="31">
        <f t="shared" si="54"/>
        <v>1650</v>
      </c>
      <c r="K923" s="28">
        <v>200</v>
      </c>
      <c r="L923" s="29">
        <v>0.81</v>
      </c>
      <c r="M923" s="31">
        <f t="shared" si="55"/>
        <v>162</v>
      </c>
      <c r="N923" s="28">
        <f t="shared" si="56"/>
        <v>37.999999999999986</v>
      </c>
    </row>
    <row r="924" spans="1:15" x14ac:dyDescent="0.35">
      <c r="A924">
        <v>200025</v>
      </c>
      <c r="B924" t="s">
        <v>1104</v>
      </c>
      <c r="C924" t="s">
        <v>368</v>
      </c>
      <c r="D924" t="s">
        <v>1097</v>
      </c>
      <c r="E924" s="30" t="s">
        <v>14</v>
      </c>
      <c r="F924" s="31">
        <v>0</v>
      </c>
      <c r="G924" s="31">
        <v>0</v>
      </c>
      <c r="H924" s="31">
        <v>0</v>
      </c>
      <c r="I924" s="31">
        <v>16</v>
      </c>
      <c r="J924" s="31">
        <f t="shared" si="54"/>
        <v>16</v>
      </c>
      <c r="K924" s="28">
        <v>10000</v>
      </c>
      <c r="L924" s="29">
        <v>0.81</v>
      </c>
      <c r="M924" s="31">
        <f t="shared" si="55"/>
        <v>8100.0000000000009</v>
      </c>
      <c r="N924" s="28">
        <f t="shared" si="56"/>
        <v>1899.9999999999995</v>
      </c>
      <c r="O924" s="28">
        <v>8000</v>
      </c>
    </row>
    <row r="925" spans="1:15" x14ac:dyDescent="0.35">
      <c r="A925">
        <v>200027</v>
      </c>
      <c r="B925" t="s">
        <v>1105</v>
      </c>
      <c r="C925" t="s">
        <v>368</v>
      </c>
      <c r="D925" t="s">
        <v>1097</v>
      </c>
      <c r="E925" s="30" t="s">
        <v>14</v>
      </c>
      <c r="F925" s="31">
        <v>0</v>
      </c>
      <c r="G925" s="31">
        <v>0</v>
      </c>
      <c r="H925" s="31">
        <v>0</v>
      </c>
      <c r="I925" s="31">
        <v>20</v>
      </c>
      <c r="J925" s="31">
        <f t="shared" si="54"/>
        <v>20</v>
      </c>
      <c r="K925" s="28">
        <v>10000</v>
      </c>
      <c r="L925" s="29">
        <v>0.81</v>
      </c>
      <c r="M925" s="31">
        <f t="shared" si="55"/>
        <v>8100.0000000000009</v>
      </c>
      <c r="N925" s="28">
        <f t="shared" si="56"/>
        <v>1899.9999999999995</v>
      </c>
      <c r="O925" s="28">
        <v>8000</v>
      </c>
    </row>
    <row r="926" spans="1:15" x14ac:dyDescent="0.35">
      <c r="A926">
        <v>500013</v>
      </c>
      <c r="B926" t="s">
        <v>1106</v>
      </c>
      <c r="C926" t="s">
        <v>368</v>
      </c>
      <c r="D926" t="s">
        <v>1097</v>
      </c>
      <c r="E926" s="30" t="s">
        <v>14</v>
      </c>
      <c r="F926" s="31">
        <v>0</v>
      </c>
      <c r="G926" s="31">
        <v>0</v>
      </c>
      <c r="H926" s="31">
        <v>0</v>
      </c>
      <c r="I926" s="31">
        <v>6</v>
      </c>
      <c r="J926" s="31">
        <f t="shared" si="54"/>
        <v>6</v>
      </c>
      <c r="K926" s="28">
        <v>54000</v>
      </c>
      <c r="L926" s="29">
        <v>0.81</v>
      </c>
      <c r="M926" s="31">
        <f t="shared" si="55"/>
        <v>43740</v>
      </c>
      <c r="N926" s="28">
        <f t="shared" si="56"/>
        <v>10259.999999999996</v>
      </c>
      <c r="O926" s="28">
        <v>44000</v>
      </c>
    </row>
    <row r="927" spans="1:15" x14ac:dyDescent="0.35">
      <c r="A927">
        <v>500134</v>
      </c>
      <c r="B927" t="s">
        <v>1107</v>
      </c>
      <c r="C927" t="s">
        <v>368</v>
      </c>
      <c r="D927" t="s">
        <v>1097</v>
      </c>
      <c r="E927" s="30" t="s">
        <v>14</v>
      </c>
      <c r="F927" s="31">
        <v>0</v>
      </c>
      <c r="G927" s="31">
        <v>0</v>
      </c>
      <c r="H927" s="31">
        <v>0</v>
      </c>
      <c r="I927" s="31">
        <v>183</v>
      </c>
      <c r="J927" s="31">
        <f t="shared" si="54"/>
        <v>183</v>
      </c>
      <c r="K927" s="28">
        <v>55000</v>
      </c>
      <c r="L927" s="29">
        <v>0.81</v>
      </c>
      <c r="M927" s="31">
        <f t="shared" si="55"/>
        <v>44550</v>
      </c>
      <c r="N927" s="28">
        <f t="shared" si="56"/>
        <v>10449.999999999996</v>
      </c>
      <c r="O927" s="28">
        <v>16500.000000000004</v>
      </c>
    </row>
    <row r="928" spans="1:15" x14ac:dyDescent="0.35">
      <c r="A928">
        <v>700668</v>
      </c>
      <c r="B928" t="s">
        <v>1108</v>
      </c>
      <c r="C928" t="s">
        <v>368</v>
      </c>
      <c r="D928" t="s">
        <v>1097</v>
      </c>
      <c r="E928" s="30" t="s">
        <v>14</v>
      </c>
      <c r="F928" s="31">
        <v>0</v>
      </c>
      <c r="G928" s="31">
        <v>0</v>
      </c>
      <c r="H928" s="31">
        <v>0</v>
      </c>
      <c r="I928" s="31">
        <v>44</v>
      </c>
      <c r="J928" s="31">
        <f t="shared" si="54"/>
        <v>44</v>
      </c>
      <c r="K928" s="28">
        <v>99000</v>
      </c>
      <c r="L928" s="29">
        <v>0.81</v>
      </c>
      <c r="M928" s="31">
        <f t="shared" si="55"/>
        <v>80190</v>
      </c>
      <c r="N928" s="28">
        <f t="shared" si="56"/>
        <v>18809.999999999996</v>
      </c>
      <c r="O928" s="28">
        <v>29700.000000000004</v>
      </c>
    </row>
    <row r="929" spans="1:15" x14ac:dyDescent="0.35">
      <c r="A929">
        <v>715180</v>
      </c>
      <c r="B929" t="s">
        <v>1109</v>
      </c>
      <c r="C929" t="s">
        <v>368</v>
      </c>
      <c r="D929" t="s">
        <v>1097</v>
      </c>
      <c r="E929" s="30" t="s">
        <v>14</v>
      </c>
      <c r="F929" s="31">
        <v>0</v>
      </c>
      <c r="G929" s="31">
        <v>0</v>
      </c>
      <c r="H929" s="31">
        <v>0</v>
      </c>
      <c r="I929" s="31">
        <v>4</v>
      </c>
      <c r="J929" s="31">
        <f t="shared" si="54"/>
        <v>4</v>
      </c>
      <c r="K929" s="28">
        <v>19000</v>
      </c>
      <c r="L929" s="29">
        <v>0.81</v>
      </c>
      <c r="M929" s="31">
        <f t="shared" si="55"/>
        <v>15390.000000000002</v>
      </c>
      <c r="N929" s="28">
        <f t="shared" si="56"/>
        <v>3609.9999999999991</v>
      </c>
      <c r="O929" s="28">
        <v>14000</v>
      </c>
    </row>
    <row r="930" spans="1:15" x14ac:dyDescent="0.35">
      <c r="A930">
        <v>720768</v>
      </c>
      <c r="B930" t="s">
        <v>1110</v>
      </c>
      <c r="C930" t="s">
        <v>368</v>
      </c>
      <c r="D930" t="s">
        <v>1097</v>
      </c>
      <c r="E930" s="30" t="s">
        <v>14</v>
      </c>
      <c r="F930" s="31">
        <v>0</v>
      </c>
      <c r="G930" s="31">
        <v>0</v>
      </c>
      <c r="H930" s="31">
        <v>0</v>
      </c>
      <c r="I930" s="31">
        <v>12</v>
      </c>
      <c r="J930" s="31">
        <f t="shared" si="54"/>
        <v>12</v>
      </c>
      <c r="K930" s="28">
        <v>98000</v>
      </c>
      <c r="L930" s="29">
        <v>0.81</v>
      </c>
      <c r="M930" s="31">
        <f t="shared" si="55"/>
        <v>79380</v>
      </c>
      <c r="N930" s="28">
        <f t="shared" si="56"/>
        <v>18619.999999999996</v>
      </c>
      <c r="O930" s="28">
        <v>29400.000000000004</v>
      </c>
    </row>
    <row r="931" spans="1:15" x14ac:dyDescent="0.35">
      <c r="A931">
        <v>730864</v>
      </c>
      <c r="B931" t="s">
        <v>2013</v>
      </c>
      <c r="C931" t="s">
        <v>368</v>
      </c>
      <c r="D931" t="s">
        <v>1097</v>
      </c>
      <c r="E931" s="30" t="s">
        <v>14</v>
      </c>
      <c r="F931" s="31">
        <v>0</v>
      </c>
      <c r="G931" s="31">
        <v>0</v>
      </c>
      <c r="H931" s="31">
        <v>0</v>
      </c>
      <c r="I931" s="31">
        <v>42</v>
      </c>
      <c r="J931" s="31">
        <f t="shared" si="54"/>
        <v>42</v>
      </c>
      <c r="K931" s="28">
        <v>59000</v>
      </c>
      <c r="L931" s="29">
        <v>0.81</v>
      </c>
      <c r="M931" s="31">
        <f t="shared" si="55"/>
        <v>47790</v>
      </c>
      <c r="N931" s="28">
        <f t="shared" si="56"/>
        <v>11209.999999999996</v>
      </c>
    </row>
    <row r="932" spans="1:15" x14ac:dyDescent="0.35">
      <c r="A932">
        <v>731844</v>
      </c>
      <c r="B932" t="s">
        <v>1111</v>
      </c>
      <c r="C932" t="s">
        <v>368</v>
      </c>
      <c r="D932" t="s">
        <v>1097</v>
      </c>
      <c r="E932" s="30" t="s">
        <v>14</v>
      </c>
      <c r="F932" s="31">
        <v>0</v>
      </c>
      <c r="G932" s="31">
        <v>0</v>
      </c>
      <c r="H932" s="31">
        <v>0</v>
      </c>
      <c r="I932" s="31">
        <v>3</v>
      </c>
      <c r="J932" s="31">
        <f t="shared" si="54"/>
        <v>3</v>
      </c>
      <c r="K932" s="28">
        <v>59000</v>
      </c>
      <c r="L932" s="29">
        <v>0.81</v>
      </c>
      <c r="M932" s="31">
        <f t="shared" si="55"/>
        <v>47790</v>
      </c>
      <c r="N932" s="28">
        <f t="shared" si="56"/>
        <v>11209.999999999996</v>
      </c>
      <c r="O932" s="28">
        <v>17700.000000000004</v>
      </c>
    </row>
    <row r="933" spans="1:15" x14ac:dyDescent="0.35">
      <c r="A933">
        <v>735518</v>
      </c>
      <c r="B933" t="s">
        <v>1112</v>
      </c>
      <c r="C933" t="s">
        <v>368</v>
      </c>
      <c r="D933" t="s">
        <v>1097</v>
      </c>
      <c r="E933" s="30" t="s">
        <v>14</v>
      </c>
      <c r="F933" s="31">
        <v>0</v>
      </c>
      <c r="G933" s="31">
        <v>0</v>
      </c>
      <c r="H933" s="31">
        <v>0</v>
      </c>
      <c r="I933" s="31">
        <v>142</v>
      </c>
      <c r="J933" s="31">
        <f t="shared" si="54"/>
        <v>142</v>
      </c>
      <c r="K933" s="28">
        <v>59000</v>
      </c>
      <c r="L933" s="29">
        <v>0.81</v>
      </c>
      <c r="M933" s="31">
        <f t="shared" si="55"/>
        <v>47790</v>
      </c>
      <c r="N933" s="28">
        <f t="shared" si="56"/>
        <v>11209.999999999996</v>
      </c>
      <c r="O933" s="28">
        <v>47200</v>
      </c>
    </row>
    <row r="934" spans="1:15" x14ac:dyDescent="0.35">
      <c r="A934">
        <v>737329</v>
      </c>
      <c r="B934" t="s">
        <v>2014</v>
      </c>
      <c r="C934" t="s">
        <v>492</v>
      </c>
      <c r="D934" t="s">
        <v>1142</v>
      </c>
      <c r="E934" s="30" t="s">
        <v>14</v>
      </c>
      <c r="F934" s="31">
        <v>0</v>
      </c>
      <c r="G934" s="31">
        <v>69</v>
      </c>
      <c r="H934" s="31">
        <v>0</v>
      </c>
      <c r="I934" s="31">
        <v>14</v>
      </c>
      <c r="J934" s="31">
        <f t="shared" si="54"/>
        <v>83</v>
      </c>
      <c r="K934" s="28">
        <v>448000</v>
      </c>
      <c r="L934" s="29">
        <v>0.81</v>
      </c>
      <c r="M934" s="31">
        <f t="shared" si="55"/>
        <v>362880</v>
      </c>
      <c r="N934" s="28">
        <f t="shared" si="56"/>
        <v>85119.999999999971</v>
      </c>
    </row>
    <row r="935" spans="1:15" x14ac:dyDescent="0.35">
      <c r="A935">
        <v>731914</v>
      </c>
      <c r="B935" t="s">
        <v>2015</v>
      </c>
      <c r="C935" t="s">
        <v>494</v>
      </c>
      <c r="D935" t="s">
        <v>1142</v>
      </c>
      <c r="E935" s="30" t="s">
        <v>14</v>
      </c>
      <c r="F935" s="31">
        <v>0</v>
      </c>
      <c r="G935" s="31">
        <v>9</v>
      </c>
      <c r="H935" s="31">
        <v>0</v>
      </c>
      <c r="I935" s="31">
        <v>14</v>
      </c>
      <c r="J935" s="31">
        <f t="shared" si="54"/>
        <v>23</v>
      </c>
      <c r="K935" s="28">
        <v>448000</v>
      </c>
      <c r="L935" s="29">
        <v>0.45</v>
      </c>
      <c r="M935" s="31">
        <f t="shared" si="55"/>
        <v>201600</v>
      </c>
      <c r="N935" s="28">
        <f t="shared" si="56"/>
        <v>246400.00000000003</v>
      </c>
    </row>
    <row r="936" spans="1:15" x14ac:dyDescent="0.35">
      <c r="A936">
        <v>726413</v>
      </c>
      <c r="B936" t="s">
        <v>2016</v>
      </c>
      <c r="C936" t="s">
        <v>679</v>
      </c>
      <c r="D936" t="s">
        <v>1142</v>
      </c>
      <c r="E936" s="30" t="s">
        <v>14</v>
      </c>
      <c r="F936" s="31">
        <v>0</v>
      </c>
      <c r="G936" s="31">
        <v>0</v>
      </c>
      <c r="H936" s="31">
        <v>0</v>
      </c>
      <c r="I936" s="31">
        <v>1</v>
      </c>
      <c r="J936" s="31">
        <f t="shared" si="54"/>
        <v>1</v>
      </c>
      <c r="K936" s="28">
        <v>1098000</v>
      </c>
      <c r="L936" s="29">
        <v>0.81</v>
      </c>
      <c r="M936" s="31">
        <f t="shared" si="55"/>
        <v>889380.00000000012</v>
      </c>
      <c r="N936" s="28">
        <f t="shared" si="56"/>
        <v>208619.99999999994</v>
      </c>
    </row>
    <row r="937" spans="1:15" x14ac:dyDescent="0.35">
      <c r="A937">
        <v>726414</v>
      </c>
      <c r="B937" t="s">
        <v>2017</v>
      </c>
      <c r="C937" t="s">
        <v>679</v>
      </c>
      <c r="D937" t="s">
        <v>1142</v>
      </c>
      <c r="E937" s="30" t="s">
        <v>14</v>
      </c>
      <c r="F937" s="31">
        <v>0</v>
      </c>
      <c r="G937" s="31">
        <v>0</v>
      </c>
      <c r="H937" s="31">
        <v>0</v>
      </c>
      <c r="I937" s="31">
        <v>1</v>
      </c>
      <c r="J937" s="31">
        <f t="shared" si="54"/>
        <v>1</v>
      </c>
      <c r="K937" s="28">
        <v>1098000</v>
      </c>
      <c r="L937" s="29">
        <v>0.81</v>
      </c>
      <c r="M937" s="31">
        <f t="shared" si="55"/>
        <v>889380.00000000012</v>
      </c>
      <c r="N937" s="28">
        <f t="shared" si="56"/>
        <v>208619.99999999994</v>
      </c>
    </row>
    <row r="938" spans="1:15" x14ac:dyDescent="0.35">
      <c r="A938">
        <v>726434</v>
      </c>
      <c r="B938" t="s">
        <v>2018</v>
      </c>
      <c r="C938" t="s">
        <v>679</v>
      </c>
      <c r="D938" t="s">
        <v>1142</v>
      </c>
      <c r="E938" s="30" t="s">
        <v>14</v>
      </c>
      <c r="F938" s="31">
        <v>0</v>
      </c>
      <c r="G938" s="31">
        <v>0</v>
      </c>
      <c r="H938" s="31">
        <v>0</v>
      </c>
      <c r="I938" s="31">
        <v>3</v>
      </c>
      <c r="J938" s="31">
        <f t="shared" si="54"/>
        <v>3</v>
      </c>
      <c r="K938" s="28">
        <v>1448000</v>
      </c>
      <c r="L938" s="29">
        <v>0.81</v>
      </c>
      <c r="M938" s="31">
        <f t="shared" si="55"/>
        <v>1172880</v>
      </c>
      <c r="N938" s="28">
        <f t="shared" si="56"/>
        <v>275119.99999999994</v>
      </c>
    </row>
    <row r="939" spans="1:15" x14ac:dyDescent="0.35">
      <c r="A939">
        <v>726435</v>
      </c>
      <c r="B939" t="s">
        <v>2019</v>
      </c>
      <c r="C939" t="s">
        <v>679</v>
      </c>
      <c r="D939" t="s">
        <v>1142</v>
      </c>
      <c r="E939" s="30" t="s">
        <v>14</v>
      </c>
      <c r="F939" s="31">
        <v>0</v>
      </c>
      <c r="G939" s="31">
        <v>0</v>
      </c>
      <c r="H939" s="31">
        <v>0</v>
      </c>
      <c r="I939" s="31">
        <v>1</v>
      </c>
      <c r="J939" s="31">
        <f t="shared" si="54"/>
        <v>1</v>
      </c>
      <c r="K939" s="28">
        <v>1498000</v>
      </c>
      <c r="L939" s="29">
        <v>0.81</v>
      </c>
      <c r="M939" s="31">
        <f t="shared" si="55"/>
        <v>1213380</v>
      </c>
      <c r="N939" s="28">
        <f t="shared" si="56"/>
        <v>284619.99999999994</v>
      </c>
    </row>
    <row r="940" spans="1:15" x14ac:dyDescent="0.35">
      <c r="A940">
        <v>729291</v>
      </c>
      <c r="B940" t="s">
        <v>2020</v>
      </c>
      <c r="C940" t="s">
        <v>679</v>
      </c>
      <c r="D940" t="s">
        <v>1145</v>
      </c>
      <c r="E940" s="30" t="s">
        <v>14</v>
      </c>
      <c r="F940" s="31">
        <v>0</v>
      </c>
      <c r="G940" s="31">
        <v>2</v>
      </c>
      <c r="H940" s="31">
        <v>0</v>
      </c>
      <c r="I940" s="31">
        <v>2</v>
      </c>
      <c r="J940" s="31">
        <f t="shared" si="54"/>
        <v>4</v>
      </c>
      <c r="K940" s="28">
        <v>89000</v>
      </c>
      <c r="L940" s="29">
        <v>0.81</v>
      </c>
      <c r="M940" s="31">
        <f t="shared" si="55"/>
        <v>72090</v>
      </c>
      <c r="N940" s="28">
        <f t="shared" si="56"/>
        <v>16909.999999999996</v>
      </c>
    </row>
    <row r="941" spans="1:15" x14ac:dyDescent="0.35">
      <c r="A941">
        <v>729376</v>
      </c>
      <c r="B941" t="s">
        <v>1147</v>
      </c>
      <c r="C941" t="s">
        <v>820</v>
      </c>
      <c r="D941" t="s">
        <v>1145</v>
      </c>
      <c r="E941" s="30" t="s">
        <v>14</v>
      </c>
      <c r="F941" s="31">
        <v>0</v>
      </c>
      <c r="G941" s="31">
        <v>0</v>
      </c>
      <c r="H941" s="31">
        <v>0</v>
      </c>
      <c r="I941" s="31">
        <v>2</v>
      </c>
      <c r="J941" s="31">
        <f t="shared" si="54"/>
        <v>2</v>
      </c>
      <c r="K941" s="28">
        <v>228000</v>
      </c>
      <c r="L941" s="29">
        <v>0.81</v>
      </c>
      <c r="M941" s="31">
        <f t="shared" si="55"/>
        <v>184680</v>
      </c>
      <c r="N941" s="28">
        <f t="shared" si="56"/>
        <v>43319.999999999985</v>
      </c>
      <c r="O941" s="28">
        <v>114000</v>
      </c>
    </row>
    <row r="942" spans="1:15" x14ac:dyDescent="0.35">
      <c r="A942">
        <v>707681</v>
      </c>
      <c r="B942" t="s">
        <v>2021</v>
      </c>
      <c r="C942" t="s">
        <v>2022</v>
      </c>
      <c r="D942" t="s">
        <v>416</v>
      </c>
      <c r="E942" s="30" t="s">
        <v>14</v>
      </c>
      <c r="F942" s="31">
        <v>0</v>
      </c>
      <c r="G942" s="31">
        <v>0</v>
      </c>
      <c r="H942" s="31">
        <v>0</v>
      </c>
      <c r="I942" s="31">
        <v>2</v>
      </c>
      <c r="J942" s="31">
        <f t="shared" si="54"/>
        <v>2</v>
      </c>
      <c r="K942" s="28">
        <v>158000</v>
      </c>
      <c r="L942" s="29">
        <v>0.81</v>
      </c>
      <c r="M942" s="31">
        <f t="shared" si="55"/>
        <v>127980.00000000001</v>
      </c>
      <c r="N942" s="28">
        <f t="shared" si="56"/>
        <v>30019.999999999993</v>
      </c>
    </row>
    <row r="943" spans="1:15" x14ac:dyDescent="0.35">
      <c r="A943">
        <v>716113</v>
      </c>
      <c r="B943" t="s">
        <v>2023</v>
      </c>
      <c r="C943" t="s">
        <v>371</v>
      </c>
      <c r="D943" t="s">
        <v>416</v>
      </c>
      <c r="E943" s="30" t="s">
        <v>14</v>
      </c>
      <c r="F943" s="31">
        <v>0</v>
      </c>
      <c r="G943" s="31">
        <v>0</v>
      </c>
      <c r="H943" s="31">
        <v>0</v>
      </c>
      <c r="I943" s="31">
        <v>3</v>
      </c>
      <c r="J943" s="31">
        <f t="shared" si="54"/>
        <v>3</v>
      </c>
      <c r="K943" s="28">
        <v>348000</v>
      </c>
      <c r="L943" s="29">
        <v>0.81</v>
      </c>
      <c r="M943" s="31">
        <f t="shared" si="55"/>
        <v>281880</v>
      </c>
      <c r="N943" s="28">
        <f t="shared" si="56"/>
        <v>66119.999999999985</v>
      </c>
    </row>
    <row r="944" spans="1:15" x14ac:dyDescent="0.35">
      <c r="A944">
        <v>724034</v>
      </c>
      <c r="B944" t="s">
        <v>415</v>
      </c>
      <c r="C944" t="s">
        <v>371</v>
      </c>
      <c r="D944" t="s">
        <v>416</v>
      </c>
      <c r="E944" s="30" t="s">
        <v>14</v>
      </c>
      <c r="F944" s="31">
        <v>0</v>
      </c>
      <c r="G944" s="31">
        <v>0</v>
      </c>
      <c r="H944" s="31">
        <v>0</v>
      </c>
      <c r="I944" s="31">
        <v>29</v>
      </c>
      <c r="J944" s="31">
        <f t="shared" si="54"/>
        <v>29</v>
      </c>
      <c r="K944" s="28">
        <v>228000</v>
      </c>
      <c r="L944" s="29">
        <v>0.81</v>
      </c>
      <c r="M944" s="31">
        <f t="shared" si="55"/>
        <v>184680</v>
      </c>
      <c r="N944" s="28">
        <f t="shared" si="56"/>
        <v>43319.999999999985</v>
      </c>
    </row>
    <row r="945" spans="1:15" x14ac:dyDescent="0.35">
      <c r="A945">
        <v>730748</v>
      </c>
      <c r="B945" t="s">
        <v>2024</v>
      </c>
      <c r="C945" t="s">
        <v>371</v>
      </c>
      <c r="D945" t="s">
        <v>416</v>
      </c>
      <c r="E945" s="30" t="s">
        <v>14</v>
      </c>
      <c r="F945" s="31">
        <v>0</v>
      </c>
      <c r="G945" s="31">
        <v>1</v>
      </c>
      <c r="H945" s="31">
        <v>0</v>
      </c>
      <c r="I945" s="31">
        <v>7</v>
      </c>
      <c r="J945" s="31">
        <f t="shared" si="54"/>
        <v>8</v>
      </c>
      <c r="K945" s="28">
        <v>39000</v>
      </c>
      <c r="L945" s="29">
        <v>0.81</v>
      </c>
      <c r="M945" s="31">
        <f t="shared" si="55"/>
        <v>31590.000000000004</v>
      </c>
      <c r="N945" s="28">
        <f t="shared" si="56"/>
        <v>7409.9999999999982</v>
      </c>
    </row>
    <row r="946" spans="1:15" x14ac:dyDescent="0.35">
      <c r="A946">
        <v>733212</v>
      </c>
      <c r="B946" t="s">
        <v>2025</v>
      </c>
      <c r="C946" t="s">
        <v>12</v>
      </c>
      <c r="D946" t="s">
        <v>416</v>
      </c>
      <c r="E946" s="30" t="s">
        <v>14</v>
      </c>
      <c r="F946" s="31">
        <v>1</v>
      </c>
      <c r="G946" s="31">
        <v>0</v>
      </c>
      <c r="H946" s="31">
        <v>1</v>
      </c>
      <c r="I946" s="31">
        <v>0</v>
      </c>
      <c r="J946" s="31">
        <f t="shared" si="54"/>
        <v>2</v>
      </c>
      <c r="K946" s="28">
        <v>1498000</v>
      </c>
      <c r="L946" s="29">
        <v>0.45</v>
      </c>
      <c r="M946" s="31">
        <f t="shared" si="55"/>
        <v>674100</v>
      </c>
      <c r="N946" s="28">
        <f t="shared" si="56"/>
        <v>823900.00000000012</v>
      </c>
    </row>
    <row r="947" spans="1:15" x14ac:dyDescent="0.35">
      <c r="A947">
        <v>735273</v>
      </c>
      <c r="B947" t="s">
        <v>2026</v>
      </c>
      <c r="C947" t="s">
        <v>391</v>
      </c>
      <c r="D947" t="s">
        <v>416</v>
      </c>
      <c r="E947" s="30" t="s">
        <v>14</v>
      </c>
      <c r="F947" s="31">
        <v>100</v>
      </c>
      <c r="G947" s="31">
        <v>36</v>
      </c>
      <c r="H947" s="31">
        <v>8</v>
      </c>
      <c r="I947" s="31">
        <v>113</v>
      </c>
      <c r="J947" s="31">
        <f t="shared" si="54"/>
        <v>257</v>
      </c>
      <c r="K947" s="28">
        <v>298000</v>
      </c>
      <c r="L947" s="29">
        <v>0.81</v>
      </c>
      <c r="M947" s="31">
        <f t="shared" si="55"/>
        <v>241380.00000000003</v>
      </c>
      <c r="N947" s="28">
        <f t="shared" si="56"/>
        <v>56619.999999999985</v>
      </c>
    </row>
    <row r="948" spans="1:15" x14ac:dyDescent="0.35">
      <c r="A948">
        <v>721902</v>
      </c>
      <c r="B948" t="s">
        <v>1149</v>
      </c>
      <c r="C948" t="s">
        <v>428</v>
      </c>
      <c r="D948" t="s">
        <v>416</v>
      </c>
      <c r="E948" s="30" t="s">
        <v>14</v>
      </c>
      <c r="F948" s="31">
        <v>0</v>
      </c>
      <c r="G948" s="31">
        <v>0</v>
      </c>
      <c r="H948" s="31">
        <v>0</v>
      </c>
      <c r="I948" s="31">
        <v>16</v>
      </c>
      <c r="J948" s="31">
        <f t="shared" si="54"/>
        <v>16</v>
      </c>
      <c r="K948" s="28">
        <v>118000</v>
      </c>
      <c r="L948" s="29">
        <v>0.81</v>
      </c>
      <c r="M948" s="31">
        <f t="shared" si="55"/>
        <v>95580</v>
      </c>
      <c r="N948" s="28">
        <f t="shared" si="56"/>
        <v>22419.999999999993</v>
      </c>
      <c r="O948" s="28">
        <v>59000</v>
      </c>
    </row>
    <row r="949" spans="1:15" x14ac:dyDescent="0.35">
      <c r="A949">
        <v>722134</v>
      </c>
      <c r="B949" t="s">
        <v>1150</v>
      </c>
      <c r="C949" t="s">
        <v>428</v>
      </c>
      <c r="D949" t="s">
        <v>416</v>
      </c>
      <c r="E949" s="30" t="s">
        <v>14</v>
      </c>
      <c r="F949" s="31">
        <v>0</v>
      </c>
      <c r="G949" s="31">
        <v>0</v>
      </c>
      <c r="H949" s="31">
        <v>0</v>
      </c>
      <c r="I949" s="31">
        <v>38</v>
      </c>
      <c r="J949" s="31">
        <f t="shared" si="54"/>
        <v>38</v>
      </c>
      <c r="K949" s="28">
        <v>348000</v>
      </c>
      <c r="L949" s="29">
        <v>0.81</v>
      </c>
      <c r="M949" s="31">
        <f t="shared" si="55"/>
        <v>281880</v>
      </c>
      <c r="N949" s="28">
        <f t="shared" si="56"/>
        <v>66119.999999999985</v>
      </c>
      <c r="O949" s="28">
        <v>174000</v>
      </c>
    </row>
    <row r="950" spans="1:15" x14ac:dyDescent="0.35">
      <c r="A950">
        <v>723043</v>
      </c>
      <c r="B950" t="s">
        <v>1151</v>
      </c>
      <c r="C950" t="s">
        <v>428</v>
      </c>
      <c r="D950" t="s">
        <v>416</v>
      </c>
      <c r="E950" s="30" t="s">
        <v>14</v>
      </c>
      <c r="F950" s="31">
        <v>0</v>
      </c>
      <c r="G950" s="31">
        <v>0</v>
      </c>
      <c r="H950" s="31">
        <v>0</v>
      </c>
      <c r="I950" s="31">
        <v>21</v>
      </c>
      <c r="J950" s="31">
        <f t="shared" si="54"/>
        <v>21</v>
      </c>
      <c r="K950" s="28">
        <v>348000</v>
      </c>
      <c r="L950" s="29">
        <v>0.81</v>
      </c>
      <c r="M950" s="31">
        <f t="shared" si="55"/>
        <v>281880</v>
      </c>
      <c r="N950" s="28">
        <f t="shared" si="56"/>
        <v>66119.999999999985</v>
      </c>
      <c r="O950" s="28">
        <v>174000</v>
      </c>
    </row>
    <row r="951" spans="1:15" x14ac:dyDescent="0.35">
      <c r="A951">
        <v>726571</v>
      </c>
      <c r="B951" t="s">
        <v>2027</v>
      </c>
      <c r="C951" t="s">
        <v>428</v>
      </c>
      <c r="D951" t="s">
        <v>416</v>
      </c>
      <c r="E951" s="30" t="s">
        <v>14</v>
      </c>
      <c r="F951" s="31">
        <v>0</v>
      </c>
      <c r="G951" s="31">
        <v>0</v>
      </c>
      <c r="H951" s="31">
        <v>0</v>
      </c>
      <c r="I951" s="31">
        <v>3</v>
      </c>
      <c r="J951" s="31">
        <f t="shared" si="54"/>
        <v>3</v>
      </c>
      <c r="K951" s="28">
        <v>118000</v>
      </c>
      <c r="L951" s="29">
        <v>0.81</v>
      </c>
      <c r="M951" s="31">
        <f t="shared" si="55"/>
        <v>95580</v>
      </c>
      <c r="N951" s="28">
        <f t="shared" si="56"/>
        <v>22419.999999999993</v>
      </c>
    </row>
    <row r="952" spans="1:15" x14ac:dyDescent="0.35">
      <c r="A952">
        <v>709820</v>
      </c>
      <c r="B952" t="s">
        <v>2028</v>
      </c>
      <c r="C952" t="s">
        <v>368</v>
      </c>
      <c r="D952" t="s">
        <v>416</v>
      </c>
      <c r="E952" s="30" t="s">
        <v>14</v>
      </c>
      <c r="F952" s="31">
        <v>0</v>
      </c>
      <c r="G952" s="31">
        <v>0</v>
      </c>
      <c r="H952" s="31">
        <v>0</v>
      </c>
      <c r="I952" s="31">
        <v>10</v>
      </c>
      <c r="J952" s="31">
        <f t="shared" si="54"/>
        <v>10</v>
      </c>
      <c r="K952" s="28">
        <v>20000</v>
      </c>
      <c r="L952" s="29">
        <v>0.81</v>
      </c>
      <c r="M952" s="31">
        <f t="shared" si="55"/>
        <v>16200.000000000002</v>
      </c>
      <c r="N952" s="28">
        <f t="shared" si="56"/>
        <v>3799.9999999999991</v>
      </c>
    </row>
    <row r="953" spans="1:15" x14ac:dyDescent="0.35">
      <c r="A953">
        <v>731520</v>
      </c>
      <c r="B953" t="s">
        <v>2029</v>
      </c>
      <c r="C953" t="s">
        <v>1665</v>
      </c>
      <c r="D953" t="s">
        <v>416</v>
      </c>
      <c r="E953" s="30" t="s">
        <v>14</v>
      </c>
      <c r="F953" s="31">
        <v>0</v>
      </c>
      <c r="G953" s="31">
        <v>0</v>
      </c>
      <c r="H953" s="31">
        <v>1</v>
      </c>
      <c r="I953" s="31">
        <v>31</v>
      </c>
      <c r="J953" s="31">
        <f t="shared" si="54"/>
        <v>32</v>
      </c>
      <c r="K953" s="28">
        <v>448000</v>
      </c>
      <c r="L953" s="29">
        <v>0.45</v>
      </c>
      <c r="M953" s="31">
        <f t="shared" si="55"/>
        <v>201600</v>
      </c>
      <c r="N953" s="28">
        <f t="shared" si="56"/>
        <v>246400.00000000003</v>
      </c>
    </row>
    <row r="954" spans="1:15" x14ac:dyDescent="0.35">
      <c r="A954">
        <v>200022</v>
      </c>
      <c r="B954" t="s">
        <v>2030</v>
      </c>
      <c r="C954" t="s">
        <v>368</v>
      </c>
      <c r="D954" t="s">
        <v>2031</v>
      </c>
      <c r="E954" s="30" t="s">
        <v>14</v>
      </c>
      <c r="F954" s="31">
        <v>0</v>
      </c>
      <c r="G954" s="31">
        <v>0</v>
      </c>
      <c r="H954" s="31">
        <v>0</v>
      </c>
      <c r="I954" s="31">
        <v>1</v>
      </c>
      <c r="J954" s="31">
        <f t="shared" si="54"/>
        <v>1</v>
      </c>
      <c r="K954" s="28">
        <v>38000</v>
      </c>
      <c r="L954" s="29">
        <v>0.81</v>
      </c>
      <c r="M954" s="31">
        <f t="shared" si="55"/>
        <v>30780.000000000004</v>
      </c>
      <c r="N954" s="28">
        <f t="shared" si="56"/>
        <v>7219.9999999999982</v>
      </c>
    </row>
    <row r="955" spans="1:15" x14ac:dyDescent="0.35">
      <c r="A955">
        <v>740231</v>
      </c>
      <c r="B955" t="s">
        <v>505</v>
      </c>
      <c r="C955" t="s">
        <v>503</v>
      </c>
      <c r="D955" t="s">
        <v>506</v>
      </c>
      <c r="E955" s="30" t="s">
        <v>14</v>
      </c>
      <c r="F955" s="31">
        <v>0</v>
      </c>
      <c r="G955" s="31">
        <v>0</v>
      </c>
      <c r="H955" s="31">
        <v>0</v>
      </c>
      <c r="I955" s="31">
        <v>34</v>
      </c>
      <c r="J955" s="31">
        <f t="shared" si="54"/>
        <v>34</v>
      </c>
      <c r="K955" s="28">
        <v>2398000</v>
      </c>
      <c r="L955" s="29">
        <v>0.17</v>
      </c>
      <c r="M955" s="31">
        <f t="shared" si="55"/>
        <v>407660.00000000006</v>
      </c>
      <c r="N955" s="28">
        <f t="shared" si="56"/>
        <v>1990340</v>
      </c>
    </row>
    <row r="956" spans="1:15" x14ac:dyDescent="0.35">
      <c r="A956">
        <v>740232</v>
      </c>
      <c r="B956" t="s">
        <v>507</v>
      </c>
      <c r="C956" t="s">
        <v>503</v>
      </c>
      <c r="D956" t="s">
        <v>506</v>
      </c>
      <c r="E956" s="30" t="s">
        <v>14</v>
      </c>
      <c r="F956" s="31">
        <v>0</v>
      </c>
      <c r="G956" s="31">
        <v>0</v>
      </c>
      <c r="H956" s="31">
        <v>0</v>
      </c>
      <c r="I956" s="31">
        <v>22</v>
      </c>
      <c r="J956" s="31">
        <f t="shared" si="54"/>
        <v>22</v>
      </c>
      <c r="K956" s="28">
        <v>2398000</v>
      </c>
      <c r="L956" s="29">
        <v>0.17</v>
      </c>
      <c r="M956" s="31">
        <f t="shared" si="55"/>
        <v>407660.00000000006</v>
      </c>
      <c r="N956" s="28">
        <f t="shared" si="56"/>
        <v>1990340</v>
      </c>
    </row>
    <row r="957" spans="1:15" x14ac:dyDescent="0.35">
      <c r="A957">
        <v>731692</v>
      </c>
      <c r="B957" t="s">
        <v>2032</v>
      </c>
      <c r="C957" t="s">
        <v>391</v>
      </c>
      <c r="D957" t="s">
        <v>506</v>
      </c>
      <c r="E957" s="30" t="s">
        <v>14</v>
      </c>
      <c r="F957" s="31">
        <v>0</v>
      </c>
      <c r="G957" s="31">
        <v>5</v>
      </c>
      <c r="H957" s="31">
        <v>0</v>
      </c>
      <c r="I957" s="31">
        <v>2</v>
      </c>
      <c r="J957" s="31">
        <f t="shared" si="54"/>
        <v>7</v>
      </c>
      <c r="K957" s="28">
        <v>3698000</v>
      </c>
      <c r="L957" s="29">
        <v>0.45</v>
      </c>
      <c r="M957" s="31">
        <f t="shared" si="55"/>
        <v>1664100</v>
      </c>
      <c r="N957" s="28">
        <f t="shared" si="56"/>
        <v>2033900.0000000002</v>
      </c>
    </row>
    <row r="958" spans="1:15" x14ac:dyDescent="0.35">
      <c r="A958">
        <v>732389003</v>
      </c>
      <c r="B958" t="s">
        <v>1169</v>
      </c>
      <c r="C958" t="s">
        <v>1170</v>
      </c>
      <c r="D958" t="s">
        <v>255</v>
      </c>
      <c r="E958" s="30" t="s">
        <v>14</v>
      </c>
      <c r="F958" s="31">
        <v>0</v>
      </c>
      <c r="G958" s="31">
        <v>0</v>
      </c>
      <c r="H958" s="31">
        <v>0</v>
      </c>
      <c r="I958" s="31">
        <v>4</v>
      </c>
      <c r="J958" s="31">
        <f t="shared" si="54"/>
        <v>4</v>
      </c>
      <c r="K958" s="28">
        <v>1498000</v>
      </c>
      <c r="L958" s="29">
        <v>0.81</v>
      </c>
      <c r="M958" s="31">
        <f t="shared" si="55"/>
        <v>1213380</v>
      </c>
      <c r="N958" s="28">
        <f t="shared" si="56"/>
        <v>284619.99999999994</v>
      </c>
      <c r="O958" s="28">
        <v>749000</v>
      </c>
    </row>
    <row r="959" spans="1:15" x14ac:dyDescent="0.35">
      <c r="A959">
        <v>732389005</v>
      </c>
      <c r="B959" t="s">
        <v>1171</v>
      </c>
      <c r="C959" t="s">
        <v>1170</v>
      </c>
      <c r="D959" t="s">
        <v>255</v>
      </c>
      <c r="E959" s="30" t="s">
        <v>14</v>
      </c>
      <c r="F959" s="31">
        <v>0</v>
      </c>
      <c r="G959" s="31">
        <v>0</v>
      </c>
      <c r="H959" s="31">
        <v>0</v>
      </c>
      <c r="I959" s="31">
        <v>1</v>
      </c>
      <c r="J959" s="31">
        <f t="shared" si="54"/>
        <v>1</v>
      </c>
      <c r="K959" s="28">
        <v>1498000</v>
      </c>
      <c r="L959" s="29">
        <v>0.81</v>
      </c>
      <c r="M959" s="31">
        <f t="shared" si="55"/>
        <v>1213380</v>
      </c>
      <c r="N959" s="28">
        <f t="shared" si="56"/>
        <v>284619.99999999994</v>
      </c>
      <c r="O959" s="28">
        <v>749000</v>
      </c>
    </row>
    <row r="960" spans="1:15" x14ac:dyDescent="0.35">
      <c r="A960">
        <v>732390003</v>
      </c>
      <c r="B960" t="s">
        <v>1172</v>
      </c>
      <c r="C960" t="s">
        <v>1170</v>
      </c>
      <c r="D960" t="s">
        <v>255</v>
      </c>
      <c r="E960" s="30" t="s">
        <v>14</v>
      </c>
      <c r="F960" s="31">
        <v>0</v>
      </c>
      <c r="G960" s="31">
        <v>0</v>
      </c>
      <c r="H960" s="31">
        <v>0</v>
      </c>
      <c r="I960" s="31">
        <v>4</v>
      </c>
      <c r="J960" s="31">
        <f t="shared" si="54"/>
        <v>4</v>
      </c>
      <c r="K960" s="28">
        <v>1498000</v>
      </c>
      <c r="L960" s="29">
        <v>0.81</v>
      </c>
      <c r="M960" s="31">
        <f t="shared" si="55"/>
        <v>1213380</v>
      </c>
      <c r="N960" s="28">
        <f t="shared" si="56"/>
        <v>284619.99999999994</v>
      </c>
      <c r="O960" s="28">
        <v>749000</v>
      </c>
    </row>
    <row r="961" spans="1:15" x14ac:dyDescent="0.35">
      <c r="A961">
        <v>732391002</v>
      </c>
      <c r="B961" t="s">
        <v>1173</v>
      </c>
      <c r="C961" t="s">
        <v>1170</v>
      </c>
      <c r="D961" t="s">
        <v>255</v>
      </c>
      <c r="E961" s="30" t="s">
        <v>14</v>
      </c>
      <c r="F961" s="31">
        <v>0</v>
      </c>
      <c r="G961" s="31">
        <v>0</v>
      </c>
      <c r="H961" s="31">
        <v>0</v>
      </c>
      <c r="I961" s="31">
        <v>1</v>
      </c>
      <c r="J961" s="31">
        <f t="shared" si="54"/>
        <v>1</v>
      </c>
      <c r="K961" s="28">
        <v>728000</v>
      </c>
      <c r="L961" s="29">
        <v>0.81</v>
      </c>
      <c r="M961" s="31">
        <f t="shared" si="55"/>
        <v>589680</v>
      </c>
      <c r="N961" s="28">
        <f t="shared" si="56"/>
        <v>138319.99999999997</v>
      </c>
      <c r="O961" s="28">
        <v>364000</v>
      </c>
    </row>
    <row r="962" spans="1:15" x14ac:dyDescent="0.35">
      <c r="A962">
        <v>732391004</v>
      </c>
      <c r="B962" t="s">
        <v>1174</v>
      </c>
      <c r="C962" t="s">
        <v>1170</v>
      </c>
      <c r="D962" t="s">
        <v>255</v>
      </c>
      <c r="E962" s="30" t="s">
        <v>14</v>
      </c>
      <c r="F962" s="31">
        <v>0</v>
      </c>
      <c r="G962" s="31">
        <v>0</v>
      </c>
      <c r="H962" s="31">
        <v>0</v>
      </c>
      <c r="I962" s="31">
        <v>6</v>
      </c>
      <c r="J962" s="31">
        <f t="shared" si="54"/>
        <v>6</v>
      </c>
      <c r="K962" s="28">
        <v>728000</v>
      </c>
      <c r="L962" s="29">
        <v>0.81</v>
      </c>
      <c r="M962" s="31">
        <f t="shared" si="55"/>
        <v>589680</v>
      </c>
      <c r="N962" s="28">
        <f t="shared" si="56"/>
        <v>138319.99999999997</v>
      </c>
      <c r="O962" s="28">
        <v>364000</v>
      </c>
    </row>
    <row r="963" spans="1:15" x14ac:dyDescent="0.35">
      <c r="A963">
        <v>732391006</v>
      </c>
      <c r="B963" t="s">
        <v>1175</v>
      </c>
      <c r="C963" t="s">
        <v>1170</v>
      </c>
      <c r="D963" t="s">
        <v>255</v>
      </c>
      <c r="E963" s="30" t="s">
        <v>14</v>
      </c>
      <c r="F963" s="31">
        <v>0</v>
      </c>
      <c r="G963" s="31">
        <v>0</v>
      </c>
      <c r="H963" s="31">
        <v>0</v>
      </c>
      <c r="I963" s="31">
        <v>4</v>
      </c>
      <c r="J963" s="31">
        <f t="shared" si="54"/>
        <v>4</v>
      </c>
      <c r="K963" s="28">
        <v>728000</v>
      </c>
      <c r="L963" s="29">
        <v>0.81</v>
      </c>
      <c r="M963" s="31">
        <f t="shared" si="55"/>
        <v>589680</v>
      </c>
      <c r="N963" s="28">
        <f t="shared" ref="N963:N977" si="57">K963*(1-L963)</f>
        <v>138319.99999999997</v>
      </c>
      <c r="O963" s="28">
        <v>364000</v>
      </c>
    </row>
    <row r="964" spans="1:15" x14ac:dyDescent="0.35">
      <c r="A964">
        <v>732392003</v>
      </c>
      <c r="B964" t="s">
        <v>1177</v>
      </c>
      <c r="C964" t="s">
        <v>1170</v>
      </c>
      <c r="D964" t="s">
        <v>255</v>
      </c>
      <c r="E964" s="30" t="s">
        <v>14</v>
      </c>
      <c r="F964" s="31">
        <v>0</v>
      </c>
      <c r="G964" s="31">
        <v>0</v>
      </c>
      <c r="H964" s="31">
        <v>0</v>
      </c>
      <c r="I964" s="31">
        <v>1</v>
      </c>
      <c r="J964" s="31">
        <f t="shared" ref="J964:J1027" si="58">SUM(F964:I964)</f>
        <v>1</v>
      </c>
      <c r="K964" s="28">
        <v>728000</v>
      </c>
      <c r="L964" s="29">
        <v>0.81</v>
      </c>
      <c r="M964" s="31">
        <f t="shared" ref="M964:M1027" si="59">K964*L964</f>
        <v>589680</v>
      </c>
      <c r="N964" s="28">
        <f t="shared" si="57"/>
        <v>138319.99999999997</v>
      </c>
      <c r="O964" s="28">
        <v>364000</v>
      </c>
    </row>
    <row r="965" spans="1:15" x14ac:dyDescent="0.35">
      <c r="A965">
        <v>732392004</v>
      </c>
      <c r="B965" t="s">
        <v>1178</v>
      </c>
      <c r="C965" t="s">
        <v>1170</v>
      </c>
      <c r="D965" t="s">
        <v>255</v>
      </c>
      <c r="E965" s="30" t="s">
        <v>14</v>
      </c>
      <c r="F965" s="31">
        <v>0</v>
      </c>
      <c r="G965" s="31">
        <v>0</v>
      </c>
      <c r="H965" s="31">
        <v>0</v>
      </c>
      <c r="I965" s="31">
        <v>2</v>
      </c>
      <c r="J965" s="31">
        <f t="shared" si="58"/>
        <v>2</v>
      </c>
      <c r="K965" s="28">
        <v>728000</v>
      </c>
      <c r="L965" s="29">
        <v>0.81</v>
      </c>
      <c r="M965" s="31">
        <f t="shared" si="59"/>
        <v>589680</v>
      </c>
      <c r="N965" s="28">
        <f t="shared" si="57"/>
        <v>138319.99999999997</v>
      </c>
      <c r="O965" s="28">
        <v>364000</v>
      </c>
    </row>
    <row r="966" spans="1:15" x14ac:dyDescent="0.35">
      <c r="A966">
        <v>732392006</v>
      </c>
      <c r="B966" t="s">
        <v>1179</v>
      </c>
      <c r="C966" t="s">
        <v>1170</v>
      </c>
      <c r="D966" t="s">
        <v>255</v>
      </c>
      <c r="E966" s="30" t="s">
        <v>14</v>
      </c>
      <c r="F966" s="31">
        <v>0</v>
      </c>
      <c r="G966" s="31">
        <v>0</v>
      </c>
      <c r="H966" s="31">
        <v>0</v>
      </c>
      <c r="I966" s="31">
        <v>4</v>
      </c>
      <c r="J966" s="31">
        <f t="shared" si="58"/>
        <v>4</v>
      </c>
      <c r="K966" s="28">
        <v>728000</v>
      </c>
      <c r="L966" s="29">
        <v>0.81</v>
      </c>
      <c r="M966" s="31">
        <f t="shared" si="59"/>
        <v>589680</v>
      </c>
      <c r="N966" s="28">
        <f t="shared" si="57"/>
        <v>138319.99999999997</v>
      </c>
      <c r="O966" s="28">
        <v>364000</v>
      </c>
    </row>
    <row r="967" spans="1:15" x14ac:dyDescent="0.35">
      <c r="A967">
        <v>732392007</v>
      </c>
      <c r="B967" t="s">
        <v>1180</v>
      </c>
      <c r="C967" t="s">
        <v>1170</v>
      </c>
      <c r="D967" t="s">
        <v>255</v>
      </c>
      <c r="E967" s="30" t="s">
        <v>14</v>
      </c>
      <c r="F967" s="31">
        <v>0</v>
      </c>
      <c r="G967" s="31">
        <v>0</v>
      </c>
      <c r="H967" s="31">
        <v>0</v>
      </c>
      <c r="I967" s="31">
        <v>3</v>
      </c>
      <c r="J967" s="31">
        <f t="shared" si="58"/>
        <v>3</v>
      </c>
      <c r="K967" s="28">
        <v>728000</v>
      </c>
      <c r="L967" s="29">
        <v>0.81</v>
      </c>
      <c r="M967" s="31">
        <f t="shared" si="59"/>
        <v>589680</v>
      </c>
      <c r="N967" s="28">
        <f t="shared" si="57"/>
        <v>138319.99999999997</v>
      </c>
      <c r="O967" s="28">
        <v>364000</v>
      </c>
    </row>
    <row r="968" spans="1:15" x14ac:dyDescent="0.35">
      <c r="A968">
        <v>732393002</v>
      </c>
      <c r="B968" t="s">
        <v>1181</v>
      </c>
      <c r="C968" t="s">
        <v>1170</v>
      </c>
      <c r="D968" t="s">
        <v>255</v>
      </c>
      <c r="E968" s="30" t="s">
        <v>14</v>
      </c>
      <c r="F968" s="31">
        <v>0</v>
      </c>
      <c r="G968" s="31">
        <v>0</v>
      </c>
      <c r="H968" s="31">
        <v>0</v>
      </c>
      <c r="I968" s="31">
        <v>1</v>
      </c>
      <c r="J968" s="31">
        <f t="shared" si="58"/>
        <v>1</v>
      </c>
      <c r="K968" s="28">
        <v>948000</v>
      </c>
      <c r="L968" s="29">
        <v>0.81</v>
      </c>
      <c r="M968" s="31">
        <f t="shared" si="59"/>
        <v>767880</v>
      </c>
      <c r="N968" s="28">
        <f t="shared" si="57"/>
        <v>180119.99999999994</v>
      </c>
      <c r="O968" s="28">
        <v>474000</v>
      </c>
    </row>
    <row r="969" spans="1:15" x14ac:dyDescent="0.35">
      <c r="A969">
        <v>732393005</v>
      </c>
      <c r="B969" t="s">
        <v>1182</v>
      </c>
      <c r="C969" t="s">
        <v>1170</v>
      </c>
      <c r="D969" t="s">
        <v>255</v>
      </c>
      <c r="E969" s="30" t="s">
        <v>14</v>
      </c>
      <c r="F969" s="31">
        <v>0</v>
      </c>
      <c r="G969" s="31">
        <v>0</v>
      </c>
      <c r="H969" s="31">
        <v>0</v>
      </c>
      <c r="I969" s="31">
        <v>4</v>
      </c>
      <c r="J969" s="31">
        <f t="shared" si="58"/>
        <v>4</v>
      </c>
      <c r="K969" s="28">
        <v>948000</v>
      </c>
      <c r="L969" s="29">
        <v>0.81</v>
      </c>
      <c r="M969" s="31">
        <f t="shared" si="59"/>
        <v>767880</v>
      </c>
      <c r="N969" s="28">
        <f t="shared" si="57"/>
        <v>180119.99999999994</v>
      </c>
      <c r="O969" s="28">
        <v>474000</v>
      </c>
    </row>
    <row r="970" spans="1:15" x14ac:dyDescent="0.35">
      <c r="A970">
        <v>732393006</v>
      </c>
      <c r="B970" t="s">
        <v>1183</v>
      </c>
      <c r="C970" t="s">
        <v>1170</v>
      </c>
      <c r="D970" t="s">
        <v>255</v>
      </c>
      <c r="E970" s="30" t="s">
        <v>14</v>
      </c>
      <c r="F970" s="31">
        <v>0</v>
      </c>
      <c r="G970" s="31">
        <v>0</v>
      </c>
      <c r="H970" s="31">
        <v>0</v>
      </c>
      <c r="I970" s="31">
        <v>7</v>
      </c>
      <c r="J970" s="31">
        <f t="shared" si="58"/>
        <v>7</v>
      </c>
      <c r="K970" s="28">
        <v>948000</v>
      </c>
      <c r="L970" s="29">
        <v>0.81</v>
      </c>
      <c r="M970" s="31">
        <f t="shared" si="59"/>
        <v>767880</v>
      </c>
      <c r="N970" s="28">
        <f t="shared" si="57"/>
        <v>180119.99999999994</v>
      </c>
      <c r="O970" s="28">
        <v>474000</v>
      </c>
    </row>
    <row r="971" spans="1:15" x14ac:dyDescent="0.35">
      <c r="A971">
        <v>732395001</v>
      </c>
      <c r="B971" t="s">
        <v>1184</v>
      </c>
      <c r="C971" t="s">
        <v>1170</v>
      </c>
      <c r="D971" t="s">
        <v>255</v>
      </c>
      <c r="E971" s="30" t="s">
        <v>14</v>
      </c>
      <c r="F971" s="31">
        <v>0</v>
      </c>
      <c r="G971" s="31">
        <v>0</v>
      </c>
      <c r="H971" s="31">
        <v>0</v>
      </c>
      <c r="I971" s="31">
        <v>9</v>
      </c>
      <c r="J971" s="31">
        <f t="shared" si="58"/>
        <v>9</v>
      </c>
      <c r="K971" s="28">
        <v>478000</v>
      </c>
      <c r="L971" s="29">
        <v>0.81</v>
      </c>
      <c r="M971" s="31">
        <f t="shared" si="59"/>
        <v>387180</v>
      </c>
      <c r="N971" s="28">
        <f t="shared" si="57"/>
        <v>90819.999999999971</v>
      </c>
      <c r="O971" s="28">
        <v>239000</v>
      </c>
    </row>
    <row r="972" spans="1:15" x14ac:dyDescent="0.35">
      <c r="A972">
        <v>732395003</v>
      </c>
      <c r="B972" t="s">
        <v>1185</v>
      </c>
      <c r="C972" t="s">
        <v>1170</v>
      </c>
      <c r="D972" t="s">
        <v>255</v>
      </c>
      <c r="E972" s="30" t="s">
        <v>14</v>
      </c>
      <c r="F972" s="31">
        <v>0</v>
      </c>
      <c r="G972" s="31">
        <v>0</v>
      </c>
      <c r="H972" s="31">
        <v>0</v>
      </c>
      <c r="I972" s="31">
        <v>10</v>
      </c>
      <c r="J972" s="31">
        <f t="shared" si="58"/>
        <v>10</v>
      </c>
      <c r="K972" s="28">
        <v>478000</v>
      </c>
      <c r="L972" s="29">
        <v>0.81</v>
      </c>
      <c r="M972" s="31">
        <f t="shared" si="59"/>
        <v>387180</v>
      </c>
      <c r="N972" s="28">
        <f t="shared" si="57"/>
        <v>90819.999999999971</v>
      </c>
      <c r="O972" s="28">
        <v>239000</v>
      </c>
    </row>
    <row r="973" spans="1:15" x14ac:dyDescent="0.35">
      <c r="A973">
        <v>732396003</v>
      </c>
      <c r="B973" t="s">
        <v>1186</v>
      </c>
      <c r="C973" t="s">
        <v>1170</v>
      </c>
      <c r="D973" t="s">
        <v>255</v>
      </c>
      <c r="E973" s="30" t="s">
        <v>14</v>
      </c>
      <c r="F973" s="31">
        <v>0</v>
      </c>
      <c r="G973" s="31">
        <v>0</v>
      </c>
      <c r="H973" s="31">
        <v>0</v>
      </c>
      <c r="I973" s="31">
        <v>1</v>
      </c>
      <c r="J973" s="31">
        <f t="shared" si="58"/>
        <v>1</v>
      </c>
      <c r="K973" s="28">
        <v>278000</v>
      </c>
      <c r="L973" s="29">
        <v>0.81</v>
      </c>
      <c r="M973" s="31">
        <f t="shared" si="59"/>
        <v>225180.00000000003</v>
      </c>
      <c r="N973" s="28">
        <f t="shared" si="57"/>
        <v>52819.999999999985</v>
      </c>
      <c r="O973" s="28">
        <v>139000</v>
      </c>
    </row>
    <row r="974" spans="1:15" x14ac:dyDescent="0.35">
      <c r="A974">
        <v>732397001</v>
      </c>
      <c r="B974" t="s">
        <v>1187</v>
      </c>
      <c r="C974" t="s">
        <v>1170</v>
      </c>
      <c r="D974" t="s">
        <v>255</v>
      </c>
      <c r="E974" s="30" t="s">
        <v>14</v>
      </c>
      <c r="F974" s="31">
        <v>0</v>
      </c>
      <c r="G974" s="31">
        <v>0</v>
      </c>
      <c r="H974" s="31">
        <v>0</v>
      </c>
      <c r="I974" s="31">
        <v>1</v>
      </c>
      <c r="J974" s="31">
        <f t="shared" si="58"/>
        <v>1</v>
      </c>
      <c r="K974" s="28">
        <v>398000</v>
      </c>
      <c r="L974" s="29">
        <v>0.81</v>
      </c>
      <c r="M974" s="31">
        <f t="shared" si="59"/>
        <v>322380</v>
      </c>
      <c r="N974" s="28">
        <f t="shared" si="57"/>
        <v>75619.999999999985</v>
      </c>
      <c r="O974" s="28">
        <v>199000</v>
      </c>
    </row>
    <row r="975" spans="1:15" x14ac:dyDescent="0.35">
      <c r="A975">
        <v>732397003</v>
      </c>
      <c r="B975" t="s">
        <v>1188</v>
      </c>
      <c r="C975" t="s">
        <v>1170</v>
      </c>
      <c r="D975" t="s">
        <v>255</v>
      </c>
      <c r="E975" s="30" t="s">
        <v>14</v>
      </c>
      <c r="F975" s="31">
        <v>0</v>
      </c>
      <c r="G975" s="31">
        <v>0</v>
      </c>
      <c r="H975" s="31">
        <v>0</v>
      </c>
      <c r="I975" s="31">
        <v>4</v>
      </c>
      <c r="J975" s="31">
        <f t="shared" si="58"/>
        <v>4</v>
      </c>
      <c r="K975" s="28">
        <v>398000</v>
      </c>
      <c r="L975" s="29">
        <v>0.81</v>
      </c>
      <c r="M975" s="31">
        <f t="shared" si="59"/>
        <v>322380</v>
      </c>
      <c r="N975" s="28">
        <f t="shared" si="57"/>
        <v>75619.999999999985</v>
      </c>
      <c r="O975" s="28">
        <v>199000</v>
      </c>
    </row>
    <row r="976" spans="1:15" x14ac:dyDescent="0.35">
      <c r="A976">
        <v>732397005</v>
      </c>
      <c r="B976" t="s">
        <v>1189</v>
      </c>
      <c r="C976" t="s">
        <v>1170</v>
      </c>
      <c r="D976" t="s">
        <v>255</v>
      </c>
      <c r="E976" s="30" t="s">
        <v>14</v>
      </c>
      <c r="F976" s="31">
        <v>0</v>
      </c>
      <c r="G976" s="31">
        <v>0</v>
      </c>
      <c r="H976" s="31">
        <v>0</v>
      </c>
      <c r="I976" s="31">
        <v>1</v>
      </c>
      <c r="J976" s="31">
        <f t="shared" si="58"/>
        <v>1</v>
      </c>
      <c r="K976" s="28">
        <v>398000</v>
      </c>
      <c r="L976" s="29">
        <v>0.81</v>
      </c>
      <c r="M976" s="31">
        <f t="shared" si="59"/>
        <v>322380</v>
      </c>
      <c r="N976" s="28">
        <f t="shared" si="57"/>
        <v>75619.999999999985</v>
      </c>
      <c r="O976" s="28">
        <v>199000</v>
      </c>
    </row>
    <row r="977" spans="1:15" x14ac:dyDescent="0.35">
      <c r="A977">
        <v>732397007</v>
      </c>
      <c r="B977" t="s">
        <v>1190</v>
      </c>
      <c r="C977" t="s">
        <v>1170</v>
      </c>
      <c r="D977" t="s">
        <v>255</v>
      </c>
      <c r="E977" s="30" t="s">
        <v>14</v>
      </c>
      <c r="F977" s="31">
        <v>0</v>
      </c>
      <c r="G977" s="31">
        <v>0</v>
      </c>
      <c r="H977" s="31">
        <v>0</v>
      </c>
      <c r="I977" s="31">
        <v>2</v>
      </c>
      <c r="J977" s="31">
        <f t="shared" si="58"/>
        <v>2</v>
      </c>
      <c r="K977" s="28">
        <v>398000</v>
      </c>
      <c r="L977" s="29">
        <v>0.81</v>
      </c>
      <c r="M977" s="31">
        <f t="shared" si="59"/>
        <v>322380</v>
      </c>
      <c r="N977" s="28">
        <f t="shared" si="57"/>
        <v>75619.999999999985</v>
      </c>
      <c r="O977" s="28">
        <v>199000</v>
      </c>
    </row>
    <row r="978" spans="1:15" x14ac:dyDescent="0.35">
      <c r="A978">
        <v>722560001</v>
      </c>
      <c r="B978" t="s">
        <v>482</v>
      </c>
      <c r="C978" t="s">
        <v>483</v>
      </c>
      <c r="D978" t="s">
        <v>255</v>
      </c>
      <c r="E978" s="30" t="s">
        <v>14</v>
      </c>
      <c r="F978" s="31">
        <v>0</v>
      </c>
      <c r="G978" s="31">
        <v>171</v>
      </c>
      <c r="H978" s="31">
        <v>29</v>
      </c>
      <c r="I978" s="31">
        <v>85</v>
      </c>
      <c r="J978" s="31">
        <f t="shared" si="58"/>
        <v>285</v>
      </c>
      <c r="K978" s="28">
        <v>998000</v>
      </c>
      <c r="L978" s="29">
        <v>0.45</v>
      </c>
      <c r="M978" s="31">
        <f t="shared" si="59"/>
        <v>449100</v>
      </c>
      <c r="N978" s="28">
        <f t="shared" ref="N963:N1026" si="60">K978*(1-L978)</f>
        <v>548900</v>
      </c>
      <c r="O978" s="28">
        <v>798400</v>
      </c>
    </row>
    <row r="979" spans="1:15" x14ac:dyDescent="0.35">
      <c r="A979">
        <v>722562001</v>
      </c>
      <c r="B979" t="s">
        <v>484</v>
      </c>
      <c r="C979" t="s">
        <v>483</v>
      </c>
      <c r="D979" t="s">
        <v>255</v>
      </c>
      <c r="E979" s="30" t="s">
        <v>14</v>
      </c>
      <c r="F979" s="31">
        <v>0</v>
      </c>
      <c r="G979" s="31">
        <v>0</v>
      </c>
      <c r="H979" s="31">
        <v>0</v>
      </c>
      <c r="I979" s="31">
        <v>64</v>
      </c>
      <c r="J979" s="31">
        <f t="shared" si="58"/>
        <v>64</v>
      </c>
      <c r="K979" s="28">
        <v>998000</v>
      </c>
      <c r="L979" s="29">
        <v>0.45</v>
      </c>
      <c r="M979" s="31">
        <f t="shared" si="59"/>
        <v>449100</v>
      </c>
      <c r="N979" s="28">
        <f t="shared" si="60"/>
        <v>548900</v>
      </c>
      <c r="O979" s="28">
        <v>798400</v>
      </c>
    </row>
    <row r="980" spans="1:15" x14ac:dyDescent="0.35">
      <c r="A980">
        <v>729842001</v>
      </c>
      <c r="B980" t="s">
        <v>485</v>
      </c>
      <c r="C980" t="s">
        <v>483</v>
      </c>
      <c r="D980" t="s">
        <v>255</v>
      </c>
      <c r="E980" s="30" t="s">
        <v>14</v>
      </c>
      <c r="F980" s="31">
        <v>0</v>
      </c>
      <c r="G980" s="31">
        <v>118</v>
      </c>
      <c r="H980" s="31">
        <v>21</v>
      </c>
      <c r="I980" s="31">
        <v>52</v>
      </c>
      <c r="J980" s="31">
        <f t="shared" si="58"/>
        <v>191</v>
      </c>
      <c r="K980" s="28">
        <v>1498000</v>
      </c>
      <c r="L980" s="29">
        <v>0.45</v>
      </c>
      <c r="M980" s="31">
        <f t="shared" si="59"/>
        <v>674100</v>
      </c>
      <c r="N980" s="28">
        <f t="shared" si="60"/>
        <v>823900.00000000012</v>
      </c>
      <c r="O980" s="28">
        <v>1198400</v>
      </c>
    </row>
    <row r="981" spans="1:15" x14ac:dyDescent="0.35">
      <c r="A981">
        <v>731256001</v>
      </c>
      <c r="B981" t="s">
        <v>486</v>
      </c>
      <c r="C981" t="s">
        <v>483</v>
      </c>
      <c r="D981" t="s">
        <v>255</v>
      </c>
      <c r="E981" s="30" t="s">
        <v>14</v>
      </c>
      <c r="F981" s="31">
        <v>0</v>
      </c>
      <c r="G981" s="31">
        <v>0</v>
      </c>
      <c r="H981" s="31">
        <v>0</v>
      </c>
      <c r="I981" s="31">
        <v>24</v>
      </c>
      <c r="J981" s="31">
        <f t="shared" si="58"/>
        <v>24</v>
      </c>
      <c r="K981" s="28">
        <v>998000</v>
      </c>
      <c r="L981" s="29">
        <v>0.45</v>
      </c>
      <c r="M981" s="31">
        <f t="shared" si="59"/>
        <v>449100</v>
      </c>
      <c r="N981" s="28">
        <f t="shared" si="60"/>
        <v>548900</v>
      </c>
      <c r="O981" s="28">
        <v>798400</v>
      </c>
    </row>
    <row r="982" spans="1:15" x14ac:dyDescent="0.35">
      <c r="A982">
        <v>727813001</v>
      </c>
      <c r="B982" t="s">
        <v>2033</v>
      </c>
      <c r="C982" t="s">
        <v>820</v>
      </c>
      <c r="D982" t="s">
        <v>255</v>
      </c>
      <c r="E982" s="30" t="s">
        <v>14</v>
      </c>
      <c r="F982" s="31">
        <v>0</v>
      </c>
      <c r="G982" s="31">
        <v>0</v>
      </c>
      <c r="H982" s="31">
        <v>1</v>
      </c>
      <c r="I982" s="31">
        <v>1</v>
      </c>
      <c r="J982" s="31">
        <f t="shared" si="58"/>
        <v>2</v>
      </c>
      <c r="K982" s="28">
        <v>1298000</v>
      </c>
      <c r="L982" s="29">
        <v>0.81</v>
      </c>
      <c r="M982" s="31">
        <f t="shared" si="59"/>
        <v>1051380</v>
      </c>
      <c r="N982" s="28">
        <f t="shared" si="60"/>
        <v>246619.99999999994</v>
      </c>
      <c r="O982" s="28">
        <v>649000</v>
      </c>
    </row>
    <row r="983" spans="1:15" x14ac:dyDescent="0.35">
      <c r="A983">
        <v>731182006</v>
      </c>
      <c r="B983" t="s">
        <v>1191</v>
      </c>
      <c r="C983" t="s">
        <v>820</v>
      </c>
      <c r="D983" t="s">
        <v>255</v>
      </c>
      <c r="E983" s="30" t="s">
        <v>14</v>
      </c>
      <c r="F983" s="31">
        <v>0</v>
      </c>
      <c r="G983" s="31">
        <v>0</v>
      </c>
      <c r="H983" s="31">
        <v>0</v>
      </c>
      <c r="I983" s="31">
        <v>8</v>
      </c>
      <c r="J983" s="31">
        <f t="shared" si="58"/>
        <v>8</v>
      </c>
      <c r="K983" s="28">
        <v>798000</v>
      </c>
      <c r="L983" s="29">
        <v>0.81</v>
      </c>
      <c r="M983" s="31">
        <f t="shared" si="59"/>
        <v>646380</v>
      </c>
      <c r="N983" s="28">
        <f t="shared" si="60"/>
        <v>151619.99999999997</v>
      </c>
      <c r="O983" s="28">
        <v>399000</v>
      </c>
    </row>
    <row r="984" spans="1:15" x14ac:dyDescent="0.35">
      <c r="A984">
        <v>731182007</v>
      </c>
      <c r="B984" t="s">
        <v>1192</v>
      </c>
      <c r="C984" t="s">
        <v>820</v>
      </c>
      <c r="D984" t="s">
        <v>255</v>
      </c>
      <c r="E984" s="30" t="s">
        <v>14</v>
      </c>
      <c r="F984" s="31">
        <v>0</v>
      </c>
      <c r="G984" s="31">
        <v>0</v>
      </c>
      <c r="H984" s="31">
        <v>1</v>
      </c>
      <c r="I984" s="31">
        <v>11</v>
      </c>
      <c r="J984" s="31">
        <f t="shared" si="58"/>
        <v>12</v>
      </c>
      <c r="K984" s="28">
        <v>798000</v>
      </c>
      <c r="L984" s="29">
        <v>0.81</v>
      </c>
      <c r="M984" s="31">
        <f t="shared" si="59"/>
        <v>646380</v>
      </c>
      <c r="N984" s="28">
        <f t="shared" si="60"/>
        <v>151619.99999999997</v>
      </c>
      <c r="O984" s="28">
        <v>399000</v>
      </c>
    </row>
    <row r="985" spans="1:15" x14ac:dyDescent="0.35">
      <c r="A985">
        <v>734878002</v>
      </c>
      <c r="B985" t="s">
        <v>1193</v>
      </c>
      <c r="C985" t="s">
        <v>820</v>
      </c>
      <c r="D985" t="s">
        <v>255</v>
      </c>
      <c r="E985" s="30" t="s">
        <v>14</v>
      </c>
      <c r="F985" s="31">
        <v>0</v>
      </c>
      <c r="G985" s="31">
        <v>0</v>
      </c>
      <c r="H985" s="31">
        <v>1</v>
      </c>
      <c r="I985" s="31">
        <v>1</v>
      </c>
      <c r="J985" s="31">
        <f t="shared" si="58"/>
        <v>2</v>
      </c>
      <c r="K985" s="28">
        <v>1098000</v>
      </c>
      <c r="L985" s="29">
        <v>0.81</v>
      </c>
      <c r="M985" s="31">
        <f t="shared" si="59"/>
        <v>889380.00000000012</v>
      </c>
      <c r="N985" s="28">
        <f t="shared" si="60"/>
        <v>208619.99999999994</v>
      </c>
      <c r="O985" s="28">
        <v>549000</v>
      </c>
    </row>
    <row r="986" spans="1:15" x14ac:dyDescent="0.35">
      <c r="A986">
        <v>734878003</v>
      </c>
      <c r="B986" t="s">
        <v>1194</v>
      </c>
      <c r="C986" t="s">
        <v>820</v>
      </c>
      <c r="D986" t="s">
        <v>255</v>
      </c>
      <c r="E986" s="30" t="s">
        <v>14</v>
      </c>
      <c r="F986" s="31">
        <v>0</v>
      </c>
      <c r="G986" s="31">
        <v>0</v>
      </c>
      <c r="H986" s="31">
        <v>1</v>
      </c>
      <c r="I986" s="31">
        <v>1</v>
      </c>
      <c r="J986" s="31">
        <f t="shared" si="58"/>
        <v>2</v>
      </c>
      <c r="K986" s="28">
        <v>1098000</v>
      </c>
      <c r="L986" s="29">
        <v>0.81</v>
      </c>
      <c r="M986" s="31">
        <f t="shared" si="59"/>
        <v>889380.00000000012</v>
      </c>
      <c r="N986" s="28">
        <f t="shared" si="60"/>
        <v>208619.99999999994</v>
      </c>
      <c r="O986" s="28">
        <v>549000</v>
      </c>
    </row>
    <row r="987" spans="1:15" x14ac:dyDescent="0.35">
      <c r="A987">
        <v>736207002</v>
      </c>
      <c r="B987" t="s">
        <v>1195</v>
      </c>
      <c r="C987" t="s">
        <v>820</v>
      </c>
      <c r="D987" t="s">
        <v>255</v>
      </c>
      <c r="E987" s="30" t="s">
        <v>14</v>
      </c>
      <c r="F987" s="31">
        <v>0</v>
      </c>
      <c r="G987" s="31">
        <v>0</v>
      </c>
      <c r="H987" s="31">
        <v>0</v>
      </c>
      <c r="I987" s="31">
        <v>3</v>
      </c>
      <c r="J987" s="31">
        <f t="shared" si="58"/>
        <v>3</v>
      </c>
      <c r="K987" s="28">
        <v>1098000</v>
      </c>
      <c r="L987" s="29">
        <v>0.81</v>
      </c>
      <c r="M987" s="31">
        <f t="shared" si="59"/>
        <v>889380.00000000012</v>
      </c>
      <c r="N987" s="28">
        <f t="shared" si="60"/>
        <v>208619.99999999994</v>
      </c>
      <c r="O987" s="28">
        <v>549000</v>
      </c>
    </row>
    <row r="988" spans="1:15" x14ac:dyDescent="0.35">
      <c r="A988">
        <v>734288001</v>
      </c>
      <c r="B988" t="s">
        <v>487</v>
      </c>
      <c r="C988" t="s">
        <v>488</v>
      </c>
      <c r="D988" t="s">
        <v>255</v>
      </c>
      <c r="E988" s="30" t="s">
        <v>14</v>
      </c>
      <c r="F988" s="31">
        <v>0</v>
      </c>
      <c r="G988" s="31">
        <v>0</v>
      </c>
      <c r="H988" s="31">
        <v>0</v>
      </c>
      <c r="I988" s="31">
        <v>1</v>
      </c>
      <c r="J988" s="31">
        <f t="shared" si="58"/>
        <v>1</v>
      </c>
      <c r="K988" s="28">
        <v>778000</v>
      </c>
      <c r="L988" s="29">
        <v>0.81</v>
      </c>
      <c r="M988" s="31">
        <f t="shared" si="59"/>
        <v>630180</v>
      </c>
      <c r="N988" s="28">
        <f t="shared" si="60"/>
        <v>147819.99999999997</v>
      </c>
      <c r="O988" s="28">
        <v>622400</v>
      </c>
    </row>
    <row r="989" spans="1:15" x14ac:dyDescent="0.35">
      <c r="A989">
        <v>737252</v>
      </c>
      <c r="B989" t="s">
        <v>434</v>
      </c>
      <c r="C989" t="s">
        <v>426</v>
      </c>
      <c r="D989" t="s">
        <v>435</v>
      </c>
      <c r="E989" s="30" t="s">
        <v>14</v>
      </c>
      <c r="F989" s="31">
        <v>0</v>
      </c>
      <c r="G989" s="31">
        <v>0</v>
      </c>
      <c r="H989" s="31">
        <v>0</v>
      </c>
      <c r="I989" s="31">
        <v>2</v>
      </c>
      <c r="J989" s="31">
        <f t="shared" si="58"/>
        <v>2</v>
      </c>
      <c r="K989" s="28">
        <v>89000</v>
      </c>
      <c r="L989" s="29">
        <v>0.81</v>
      </c>
      <c r="M989" s="31">
        <f t="shared" si="59"/>
        <v>72090</v>
      </c>
      <c r="N989" s="28">
        <f t="shared" si="60"/>
        <v>16909.999999999996</v>
      </c>
    </row>
    <row r="990" spans="1:15" x14ac:dyDescent="0.35">
      <c r="A990">
        <v>740723</v>
      </c>
      <c r="B990" t="s">
        <v>2034</v>
      </c>
      <c r="C990" t="s">
        <v>368</v>
      </c>
      <c r="D990" t="s">
        <v>435</v>
      </c>
      <c r="E990" s="30" t="s">
        <v>14</v>
      </c>
      <c r="F990" s="31">
        <v>0</v>
      </c>
      <c r="G990" s="31">
        <v>0</v>
      </c>
      <c r="H990" s="31">
        <v>0</v>
      </c>
      <c r="I990" s="31">
        <v>50</v>
      </c>
      <c r="J990" s="31">
        <f t="shared" si="58"/>
        <v>50</v>
      </c>
      <c r="K990" s="28">
        <v>698000</v>
      </c>
      <c r="L990" s="29">
        <v>0.45</v>
      </c>
      <c r="M990" s="31">
        <f t="shared" si="59"/>
        <v>314100</v>
      </c>
      <c r="N990" s="28">
        <f t="shared" si="60"/>
        <v>383900.00000000006</v>
      </c>
    </row>
    <row r="991" spans="1:15" x14ac:dyDescent="0.35">
      <c r="A991">
        <v>701926</v>
      </c>
      <c r="B991" t="s">
        <v>2035</v>
      </c>
      <c r="C991" t="s">
        <v>1665</v>
      </c>
      <c r="D991" t="s">
        <v>435</v>
      </c>
      <c r="E991" s="30" t="s">
        <v>14</v>
      </c>
      <c r="F991" s="31">
        <v>0</v>
      </c>
      <c r="G991" s="31">
        <v>0</v>
      </c>
      <c r="H991" s="31">
        <v>0</v>
      </c>
      <c r="I991" s="31">
        <v>10</v>
      </c>
      <c r="J991" s="31">
        <f t="shared" si="58"/>
        <v>10</v>
      </c>
      <c r="K991" s="28">
        <v>188000</v>
      </c>
      <c r="L991" s="29">
        <v>0.45</v>
      </c>
      <c r="M991" s="31">
        <f t="shared" si="59"/>
        <v>84600</v>
      </c>
      <c r="N991" s="28">
        <f t="shared" si="60"/>
        <v>103400.00000000001</v>
      </c>
    </row>
    <row r="992" spans="1:15" x14ac:dyDescent="0.35">
      <c r="A992">
        <v>731600</v>
      </c>
      <c r="B992" t="s">
        <v>2036</v>
      </c>
      <c r="C992" t="s">
        <v>1665</v>
      </c>
      <c r="D992" t="s">
        <v>435</v>
      </c>
      <c r="E992" s="30" t="s">
        <v>14</v>
      </c>
      <c r="F992" s="31">
        <v>0</v>
      </c>
      <c r="G992" s="31">
        <v>2</v>
      </c>
      <c r="H992" s="31">
        <v>0</v>
      </c>
      <c r="I992" s="31">
        <v>12</v>
      </c>
      <c r="J992" s="31">
        <f t="shared" si="58"/>
        <v>14</v>
      </c>
      <c r="K992" s="28">
        <v>478000</v>
      </c>
      <c r="L992" s="29">
        <v>0.17</v>
      </c>
      <c r="M992" s="31">
        <f t="shared" si="59"/>
        <v>81260</v>
      </c>
      <c r="N992" s="28">
        <f t="shared" si="60"/>
        <v>396740</v>
      </c>
    </row>
    <row r="993" spans="1:15" x14ac:dyDescent="0.35">
      <c r="A993">
        <v>733089</v>
      </c>
      <c r="B993" t="s">
        <v>2037</v>
      </c>
      <c r="C993" t="s">
        <v>1665</v>
      </c>
      <c r="D993" t="s">
        <v>435</v>
      </c>
      <c r="E993" s="30" t="s">
        <v>14</v>
      </c>
      <c r="F993" s="31">
        <v>0</v>
      </c>
      <c r="G993" s="31">
        <v>0</v>
      </c>
      <c r="H993" s="31">
        <v>0</v>
      </c>
      <c r="I993" s="31">
        <v>35</v>
      </c>
      <c r="J993" s="31">
        <f t="shared" si="58"/>
        <v>35</v>
      </c>
      <c r="K993" s="28">
        <v>398000</v>
      </c>
      <c r="L993" s="29">
        <v>0.17</v>
      </c>
      <c r="M993" s="31">
        <f t="shared" si="59"/>
        <v>67660</v>
      </c>
      <c r="N993" s="28">
        <f t="shared" si="60"/>
        <v>330340</v>
      </c>
    </row>
    <row r="994" spans="1:15" x14ac:dyDescent="0.35">
      <c r="A994">
        <v>733090</v>
      </c>
      <c r="B994" t="s">
        <v>2038</v>
      </c>
      <c r="C994" t="s">
        <v>1665</v>
      </c>
      <c r="D994" t="s">
        <v>435</v>
      </c>
      <c r="E994" s="30" t="s">
        <v>14</v>
      </c>
      <c r="F994" s="31">
        <v>0</v>
      </c>
      <c r="G994" s="31">
        <v>0</v>
      </c>
      <c r="H994" s="31">
        <v>0</v>
      </c>
      <c r="I994" s="31">
        <v>58</v>
      </c>
      <c r="J994" s="31">
        <f t="shared" si="58"/>
        <v>58</v>
      </c>
      <c r="K994" s="28">
        <v>448000</v>
      </c>
      <c r="L994" s="29">
        <v>0.17</v>
      </c>
      <c r="M994" s="31">
        <f t="shared" si="59"/>
        <v>76160</v>
      </c>
      <c r="N994" s="28">
        <f t="shared" si="60"/>
        <v>371840</v>
      </c>
    </row>
    <row r="995" spans="1:15" x14ac:dyDescent="0.35">
      <c r="A995">
        <v>733091</v>
      </c>
      <c r="B995" t="s">
        <v>2039</v>
      </c>
      <c r="C995" t="s">
        <v>1665</v>
      </c>
      <c r="D995" t="s">
        <v>435</v>
      </c>
      <c r="E995" s="30" t="s">
        <v>14</v>
      </c>
      <c r="F995" s="31">
        <v>0</v>
      </c>
      <c r="G995" s="31">
        <v>1</v>
      </c>
      <c r="H995" s="31">
        <v>0</v>
      </c>
      <c r="I995" s="31">
        <v>52</v>
      </c>
      <c r="J995" s="31">
        <f t="shared" si="58"/>
        <v>53</v>
      </c>
      <c r="K995" s="28">
        <v>448000</v>
      </c>
      <c r="L995" s="29">
        <v>0.17</v>
      </c>
      <c r="M995" s="31">
        <f t="shared" si="59"/>
        <v>76160</v>
      </c>
      <c r="N995" s="28">
        <f t="shared" si="60"/>
        <v>371840</v>
      </c>
    </row>
    <row r="996" spans="1:15" x14ac:dyDescent="0.35">
      <c r="A996">
        <v>735899</v>
      </c>
      <c r="B996" t="s">
        <v>2040</v>
      </c>
      <c r="C996" t="s">
        <v>1665</v>
      </c>
      <c r="D996" t="s">
        <v>435</v>
      </c>
      <c r="E996" s="30">
        <v>0</v>
      </c>
      <c r="F996" s="31">
        <v>0</v>
      </c>
      <c r="G996" s="31">
        <v>38</v>
      </c>
      <c r="H996" s="31">
        <v>0</v>
      </c>
      <c r="I996" s="31">
        <v>19</v>
      </c>
      <c r="J996" s="31">
        <f t="shared" si="58"/>
        <v>57</v>
      </c>
      <c r="K996" s="28">
        <v>478000</v>
      </c>
      <c r="L996" s="29">
        <v>0.17</v>
      </c>
      <c r="M996" s="31">
        <f t="shared" si="59"/>
        <v>81260</v>
      </c>
      <c r="N996" s="28">
        <f t="shared" si="60"/>
        <v>396740</v>
      </c>
    </row>
    <row r="997" spans="1:15" x14ac:dyDescent="0.35">
      <c r="A997">
        <v>703629</v>
      </c>
      <c r="B997" t="s">
        <v>2041</v>
      </c>
      <c r="C997" t="s">
        <v>2042</v>
      </c>
      <c r="D997" t="s">
        <v>435</v>
      </c>
      <c r="E997" s="30" t="s">
        <v>14</v>
      </c>
      <c r="F997" s="31">
        <v>0</v>
      </c>
      <c r="G997" s="31">
        <v>0</v>
      </c>
      <c r="H997" s="31">
        <v>0</v>
      </c>
      <c r="I997" s="31">
        <v>3</v>
      </c>
      <c r="J997" s="31">
        <f t="shared" si="58"/>
        <v>3</v>
      </c>
      <c r="K997" s="28">
        <v>20000</v>
      </c>
      <c r="L997" s="29">
        <v>0.81</v>
      </c>
      <c r="M997" s="31">
        <f t="shared" si="59"/>
        <v>16200.000000000002</v>
      </c>
      <c r="N997" s="28">
        <f t="shared" si="60"/>
        <v>3799.9999999999991</v>
      </c>
    </row>
    <row r="998" spans="1:15" x14ac:dyDescent="0.35">
      <c r="A998">
        <v>727178</v>
      </c>
      <c r="B998" t="s">
        <v>258</v>
      </c>
      <c r="C998" t="s">
        <v>92</v>
      </c>
      <c r="D998" t="s">
        <v>257</v>
      </c>
      <c r="E998" s="30" t="s">
        <v>14</v>
      </c>
      <c r="F998" s="31">
        <v>0</v>
      </c>
      <c r="G998" s="31">
        <v>0</v>
      </c>
      <c r="H998" s="31">
        <v>0</v>
      </c>
      <c r="I998" s="31">
        <v>14</v>
      </c>
      <c r="J998" s="31">
        <f t="shared" si="58"/>
        <v>14</v>
      </c>
      <c r="K998" s="28">
        <v>72000</v>
      </c>
      <c r="L998" s="29">
        <v>0.17</v>
      </c>
      <c r="M998" s="31">
        <f t="shared" si="59"/>
        <v>12240</v>
      </c>
      <c r="N998" s="28">
        <f t="shared" si="60"/>
        <v>59760</v>
      </c>
    </row>
    <row r="999" spans="1:15" x14ac:dyDescent="0.35">
      <c r="A999">
        <v>200214</v>
      </c>
      <c r="B999" t="s">
        <v>2043</v>
      </c>
      <c r="C999" t="s">
        <v>426</v>
      </c>
      <c r="D999" t="s">
        <v>1203</v>
      </c>
      <c r="E999" s="30" t="s">
        <v>14</v>
      </c>
      <c r="F999" s="31">
        <v>0</v>
      </c>
      <c r="G999" s="31">
        <v>0</v>
      </c>
      <c r="H999" s="31">
        <v>0</v>
      </c>
      <c r="I999" s="31">
        <v>1</v>
      </c>
      <c r="J999" s="31">
        <f t="shared" si="58"/>
        <v>1</v>
      </c>
      <c r="K999" s="28">
        <v>3500</v>
      </c>
      <c r="L999" s="29">
        <v>0.81</v>
      </c>
      <c r="M999" s="31">
        <f t="shared" si="59"/>
        <v>2835</v>
      </c>
      <c r="N999" s="28">
        <f t="shared" si="60"/>
        <v>664.99999999999977</v>
      </c>
    </row>
    <row r="1000" spans="1:15" x14ac:dyDescent="0.35">
      <c r="A1000">
        <v>200212</v>
      </c>
      <c r="B1000" t="s">
        <v>1202</v>
      </c>
      <c r="C1000" t="s">
        <v>368</v>
      </c>
      <c r="D1000" t="s">
        <v>1203</v>
      </c>
      <c r="E1000" s="30" t="s">
        <v>14</v>
      </c>
      <c r="F1000" s="31">
        <v>0</v>
      </c>
      <c r="G1000" s="31">
        <v>0</v>
      </c>
      <c r="H1000" s="31">
        <v>0</v>
      </c>
      <c r="I1000" s="31">
        <v>8</v>
      </c>
      <c r="J1000" s="31">
        <f t="shared" si="58"/>
        <v>8</v>
      </c>
      <c r="K1000" s="28">
        <v>10000</v>
      </c>
      <c r="L1000" s="29">
        <v>0.81</v>
      </c>
      <c r="M1000" s="31">
        <f t="shared" si="59"/>
        <v>8100.0000000000009</v>
      </c>
      <c r="N1000" s="28">
        <f t="shared" si="60"/>
        <v>1899.9999999999995</v>
      </c>
      <c r="O1000" s="28">
        <v>3000.0000000000005</v>
      </c>
    </row>
    <row r="1001" spans="1:15" x14ac:dyDescent="0.35">
      <c r="A1001">
        <v>200213</v>
      </c>
      <c r="B1001" t="s">
        <v>1204</v>
      </c>
      <c r="C1001" t="s">
        <v>368</v>
      </c>
      <c r="D1001" t="s">
        <v>1203</v>
      </c>
      <c r="E1001" s="30" t="s">
        <v>14</v>
      </c>
      <c r="F1001" s="31">
        <v>0</v>
      </c>
      <c r="G1001" s="31">
        <v>0</v>
      </c>
      <c r="H1001" s="31">
        <v>0</v>
      </c>
      <c r="I1001" s="31">
        <v>28</v>
      </c>
      <c r="J1001" s="31">
        <f t="shared" si="58"/>
        <v>28</v>
      </c>
      <c r="K1001" s="28">
        <v>10000</v>
      </c>
      <c r="L1001" s="29">
        <v>0.81</v>
      </c>
      <c r="M1001" s="31">
        <f t="shared" si="59"/>
        <v>8100.0000000000009</v>
      </c>
      <c r="N1001" s="28">
        <f t="shared" si="60"/>
        <v>1899.9999999999995</v>
      </c>
      <c r="O1001" s="28">
        <v>3000.0000000000005</v>
      </c>
    </row>
    <row r="1002" spans="1:15" x14ac:dyDescent="0.35">
      <c r="A1002">
        <v>200215</v>
      </c>
      <c r="B1002" t="s">
        <v>1205</v>
      </c>
      <c r="C1002" t="s">
        <v>368</v>
      </c>
      <c r="D1002" t="s">
        <v>1203</v>
      </c>
      <c r="E1002" s="30" t="s">
        <v>14</v>
      </c>
      <c r="F1002" s="31">
        <v>0</v>
      </c>
      <c r="G1002" s="31">
        <v>0</v>
      </c>
      <c r="H1002" s="31">
        <v>0</v>
      </c>
      <c r="I1002" s="31">
        <v>14</v>
      </c>
      <c r="J1002" s="31">
        <f t="shared" si="58"/>
        <v>14</v>
      </c>
      <c r="K1002" s="28">
        <v>3500</v>
      </c>
      <c r="L1002" s="29">
        <v>0.81</v>
      </c>
      <c r="M1002" s="31">
        <f t="shared" si="59"/>
        <v>2835</v>
      </c>
      <c r="N1002" s="28">
        <f t="shared" si="60"/>
        <v>664.99999999999977</v>
      </c>
      <c r="O1002" s="28">
        <v>1050.0000000000002</v>
      </c>
    </row>
    <row r="1003" spans="1:15" x14ac:dyDescent="0.35">
      <c r="A1003">
        <v>200216</v>
      </c>
      <c r="B1003" t="s">
        <v>1206</v>
      </c>
      <c r="C1003" t="s">
        <v>368</v>
      </c>
      <c r="D1003" t="s">
        <v>1203</v>
      </c>
      <c r="E1003" s="30" t="s">
        <v>14</v>
      </c>
      <c r="F1003" s="31">
        <v>0</v>
      </c>
      <c r="G1003" s="31">
        <v>0</v>
      </c>
      <c r="H1003" s="31">
        <v>0</v>
      </c>
      <c r="I1003" s="31">
        <v>9</v>
      </c>
      <c r="J1003" s="31">
        <f t="shared" si="58"/>
        <v>9</v>
      </c>
      <c r="K1003" s="28">
        <v>3500</v>
      </c>
      <c r="L1003" s="29">
        <v>0.81</v>
      </c>
      <c r="M1003" s="31">
        <f t="shared" si="59"/>
        <v>2835</v>
      </c>
      <c r="N1003" s="28">
        <f t="shared" si="60"/>
        <v>664.99999999999977</v>
      </c>
      <c r="O1003" s="28">
        <v>1050.0000000000002</v>
      </c>
    </row>
    <row r="1004" spans="1:15" x14ac:dyDescent="0.35">
      <c r="A1004">
        <v>200218</v>
      </c>
      <c r="B1004" t="s">
        <v>1207</v>
      </c>
      <c r="C1004" t="s">
        <v>368</v>
      </c>
      <c r="D1004" t="s">
        <v>1203</v>
      </c>
      <c r="E1004" s="30" t="s">
        <v>14</v>
      </c>
      <c r="F1004" s="31">
        <v>0</v>
      </c>
      <c r="G1004" s="31">
        <v>0</v>
      </c>
      <c r="H1004" s="31">
        <v>0</v>
      </c>
      <c r="I1004" s="31">
        <v>1</v>
      </c>
      <c r="J1004" s="31">
        <f t="shared" si="58"/>
        <v>1</v>
      </c>
      <c r="K1004" s="28">
        <v>10000</v>
      </c>
      <c r="L1004" s="29">
        <v>0.81</v>
      </c>
      <c r="M1004" s="31">
        <f t="shared" si="59"/>
        <v>8100.0000000000009</v>
      </c>
      <c r="N1004" s="28">
        <f t="shared" si="60"/>
        <v>1899.9999999999995</v>
      </c>
      <c r="O1004" s="28">
        <v>3000.0000000000005</v>
      </c>
    </row>
    <row r="1005" spans="1:15" x14ac:dyDescent="0.35">
      <c r="A1005">
        <v>201483</v>
      </c>
      <c r="B1005" t="s">
        <v>2044</v>
      </c>
      <c r="C1005" t="s">
        <v>368</v>
      </c>
      <c r="D1005" t="s">
        <v>1203</v>
      </c>
      <c r="E1005" s="30" t="s">
        <v>14</v>
      </c>
      <c r="F1005" s="31">
        <v>0</v>
      </c>
      <c r="G1005" s="31">
        <v>0</v>
      </c>
      <c r="H1005" s="31">
        <v>0</v>
      </c>
      <c r="I1005" s="31">
        <v>14</v>
      </c>
      <c r="J1005" s="31">
        <f t="shared" si="58"/>
        <v>14</v>
      </c>
      <c r="K1005" s="28">
        <v>10000</v>
      </c>
      <c r="L1005" s="29">
        <v>0.81</v>
      </c>
      <c r="M1005" s="31">
        <f t="shared" si="59"/>
        <v>8100.0000000000009</v>
      </c>
      <c r="N1005" s="28">
        <f t="shared" si="60"/>
        <v>1899.9999999999995</v>
      </c>
    </row>
    <row r="1006" spans="1:15" x14ac:dyDescent="0.35">
      <c r="A1006">
        <v>200342</v>
      </c>
      <c r="B1006" t="s">
        <v>2045</v>
      </c>
      <c r="C1006" t="s">
        <v>631</v>
      </c>
      <c r="D1006" t="s">
        <v>1203</v>
      </c>
      <c r="E1006" s="30" t="s">
        <v>14</v>
      </c>
      <c r="F1006" s="31">
        <v>0</v>
      </c>
      <c r="G1006" s="31">
        <v>0</v>
      </c>
      <c r="H1006" s="31">
        <v>0</v>
      </c>
      <c r="I1006" s="31">
        <v>22</v>
      </c>
      <c r="J1006" s="31">
        <f t="shared" si="58"/>
        <v>22</v>
      </c>
      <c r="K1006" s="28">
        <v>3500</v>
      </c>
      <c r="L1006" s="29">
        <v>0.81</v>
      </c>
      <c r="M1006" s="31">
        <f t="shared" si="59"/>
        <v>2835</v>
      </c>
      <c r="N1006" s="28">
        <f t="shared" si="60"/>
        <v>664.99999999999977</v>
      </c>
    </row>
    <row r="1007" spans="1:15" x14ac:dyDescent="0.35">
      <c r="A1007">
        <v>706209002</v>
      </c>
      <c r="B1007" t="s">
        <v>2046</v>
      </c>
      <c r="C1007" t="s">
        <v>2047</v>
      </c>
      <c r="D1007" t="s">
        <v>419</v>
      </c>
      <c r="E1007" s="30" t="s">
        <v>14</v>
      </c>
      <c r="F1007" s="31">
        <v>0</v>
      </c>
      <c r="G1007" s="31">
        <v>0</v>
      </c>
      <c r="H1007" s="31">
        <v>2</v>
      </c>
      <c r="I1007" s="31">
        <v>0</v>
      </c>
      <c r="J1007" s="31">
        <f t="shared" si="58"/>
        <v>2</v>
      </c>
      <c r="K1007" s="28">
        <v>548000</v>
      </c>
      <c r="L1007" s="29">
        <v>0.81</v>
      </c>
      <c r="M1007" s="31">
        <f t="shared" si="59"/>
        <v>443880.00000000006</v>
      </c>
      <c r="N1007" s="28">
        <f t="shared" si="60"/>
        <v>104119.99999999997</v>
      </c>
    </row>
    <row r="1008" spans="1:15" x14ac:dyDescent="0.35">
      <c r="A1008">
        <v>736749001</v>
      </c>
      <c r="B1008" t="s">
        <v>417</v>
      </c>
      <c r="C1008" t="s">
        <v>418</v>
      </c>
      <c r="D1008" t="s">
        <v>419</v>
      </c>
      <c r="E1008" s="30" t="s">
        <v>14</v>
      </c>
      <c r="F1008" s="31">
        <v>0</v>
      </c>
      <c r="G1008" s="31">
        <v>0</v>
      </c>
      <c r="H1008" s="31">
        <v>1</v>
      </c>
      <c r="I1008" s="31">
        <v>14</v>
      </c>
      <c r="J1008" s="31">
        <f t="shared" si="58"/>
        <v>15</v>
      </c>
      <c r="K1008" s="28">
        <v>148000</v>
      </c>
      <c r="L1008" s="29">
        <v>0.81</v>
      </c>
      <c r="M1008" s="31">
        <f t="shared" si="59"/>
        <v>119880.00000000001</v>
      </c>
      <c r="N1008" s="28">
        <f t="shared" si="60"/>
        <v>28119.999999999993</v>
      </c>
    </row>
    <row r="1009" spans="1:15" x14ac:dyDescent="0.35">
      <c r="A1009">
        <v>738774001</v>
      </c>
      <c r="B1009" t="s">
        <v>420</v>
      </c>
      <c r="C1009" t="s">
        <v>418</v>
      </c>
      <c r="D1009" t="s">
        <v>419</v>
      </c>
      <c r="E1009" s="30" t="s">
        <v>14</v>
      </c>
      <c r="F1009" s="31">
        <v>0</v>
      </c>
      <c r="G1009" s="31">
        <v>0</v>
      </c>
      <c r="H1009" s="31">
        <v>0</v>
      </c>
      <c r="I1009" s="31">
        <v>10</v>
      </c>
      <c r="J1009" s="31">
        <f t="shared" si="58"/>
        <v>10</v>
      </c>
      <c r="K1009" s="28">
        <v>148000</v>
      </c>
      <c r="L1009" s="29">
        <v>0.81</v>
      </c>
      <c r="M1009" s="31">
        <f t="shared" si="59"/>
        <v>119880.00000000001</v>
      </c>
      <c r="N1009" s="28">
        <f t="shared" si="60"/>
        <v>28119.999999999993</v>
      </c>
    </row>
    <row r="1010" spans="1:15" x14ac:dyDescent="0.35">
      <c r="A1010">
        <v>740383001</v>
      </c>
      <c r="B1010" t="s">
        <v>425</v>
      </c>
      <c r="C1010" t="s">
        <v>426</v>
      </c>
      <c r="D1010" t="s">
        <v>419</v>
      </c>
      <c r="E1010" s="30" t="s">
        <v>14</v>
      </c>
      <c r="F1010" s="31">
        <v>0</v>
      </c>
      <c r="G1010" s="31">
        <v>0</v>
      </c>
      <c r="H1010" s="31">
        <v>0</v>
      </c>
      <c r="I1010" s="31">
        <v>7</v>
      </c>
      <c r="J1010" s="31">
        <f t="shared" si="58"/>
        <v>7</v>
      </c>
      <c r="K1010" s="28">
        <v>148000</v>
      </c>
      <c r="L1010" s="29">
        <v>0.81</v>
      </c>
      <c r="M1010" s="31">
        <f t="shared" si="59"/>
        <v>119880.00000000001</v>
      </c>
      <c r="N1010" s="28">
        <f t="shared" si="60"/>
        <v>28119.999999999993</v>
      </c>
    </row>
    <row r="1011" spans="1:15" x14ac:dyDescent="0.35">
      <c r="A1011">
        <v>201677001</v>
      </c>
      <c r="B1011" t="s">
        <v>421</v>
      </c>
      <c r="C1011" t="s">
        <v>368</v>
      </c>
      <c r="D1011" t="s">
        <v>419</v>
      </c>
      <c r="E1011" s="30" t="s">
        <v>14</v>
      </c>
      <c r="F1011" s="31">
        <v>0</v>
      </c>
      <c r="G1011" s="31">
        <v>0</v>
      </c>
      <c r="H1011" s="31">
        <v>0</v>
      </c>
      <c r="I1011" s="31">
        <v>27</v>
      </c>
      <c r="J1011" s="31">
        <f t="shared" si="58"/>
        <v>27</v>
      </c>
      <c r="K1011" s="28">
        <v>240000</v>
      </c>
      <c r="L1011" s="29">
        <v>0.81</v>
      </c>
      <c r="M1011" s="31">
        <f t="shared" si="59"/>
        <v>194400</v>
      </c>
      <c r="N1011" s="28">
        <f t="shared" si="60"/>
        <v>45599.999999999985</v>
      </c>
    </row>
    <row r="1012" spans="1:15" x14ac:dyDescent="0.35">
      <c r="A1012">
        <v>706212001</v>
      </c>
      <c r="B1012" t="s">
        <v>422</v>
      </c>
      <c r="C1012" t="s">
        <v>368</v>
      </c>
      <c r="D1012" t="s">
        <v>419</v>
      </c>
      <c r="E1012" s="30" t="s">
        <v>14</v>
      </c>
      <c r="F1012" s="31">
        <v>0</v>
      </c>
      <c r="G1012" s="31">
        <v>0</v>
      </c>
      <c r="H1012" s="31">
        <v>0</v>
      </c>
      <c r="I1012" s="31">
        <v>29</v>
      </c>
      <c r="J1012" s="31">
        <f t="shared" si="58"/>
        <v>29</v>
      </c>
      <c r="K1012" s="28">
        <v>50000</v>
      </c>
      <c r="L1012" s="29">
        <v>0.81</v>
      </c>
      <c r="M1012" s="31">
        <f t="shared" si="59"/>
        <v>40500</v>
      </c>
      <c r="N1012" s="28">
        <f t="shared" si="60"/>
        <v>9499.9999999999982</v>
      </c>
    </row>
    <row r="1013" spans="1:15" x14ac:dyDescent="0.35">
      <c r="A1013">
        <v>706195005</v>
      </c>
      <c r="B1013" t="s">
        <v>2048</v>
      </c>
      <c r="C1013" t="s">
        <v>424</v>
      </c>
      <c r="D1013" t="s">
        <v>419</v>
      </c>
      <c r="E1013" s="30" t="s">
        <v>14</v>
      </c>
      <c r="F1013" s="31">
        <v>0</v>
      </c>
      <c r="G1013" s="31">
        <v>0</v>
      </c>
      <c r="H1013" s="31">
        <v>0</v>
      </c>
      <c r="I1013" s="31">
        <v>2</v>
      </c>
      <c r="J1013" s="31">
        <f t="shared" si="58"/>
        <v>2</v>
      </c>
      <c r="K1013" s="28">
        <v>148000</v>
      </c>
      <c r="L1013" s="29">
        <v>0.81</v>
      </c>
      <c r="M1013" s="31">
        <f t="shared" si="59"/>
        <v>119880.00000000001</v>
      </c>
      <c r="N1013" s="28">
        <f t="shared" si="60"/>
        <v>28119.999999999993</v>
      </c>
    </row>
    <row r="1014" spans="1:15" x14ac:dyDescent="0.35">
      <c r="A1014">
        <v>706208004</v>
      </c>
      <c r="B1014" t="s">
        <v>2049</v>
      </c>
      <c r="C1014" t="s">
        <v>424</v>
      </c>
      <c r="D1014" t="s">
        <v>419</v>
      </c>
      <c r="E1014" s="30" t="s">
        <v>14</v>
      </c>
      <c r="F1014" s="31">
        <v>0</v>
      </c>
      <c r="G1014" s="31">
        <v>0</v>
      </c>
      <c r="H1014" s="31">
        <v>0</v>
      </c>
      <c r="I1014" s="31">
        <v>1</v>
      </c>
      <c r="J1014" s="31">
        <f t="shared" si="58"/>
        <v>1</v>
      </c>
      <c r="K1014" s="28">
        <v>148000</v>
      </c>
      <c r="L1014" s="29">
        <v>0.81</v>
      </c>
      <c r="M1014" s="31">
        <f t="shared" si="59"/>
        <v>119880.00000000001</v>
      </c>
      <c r="N1014" s="28">
        <f t="shared" si="60"/>
        <v>28119.999999999993</v>
      </c>
    </row>
    <row r="1015" spans="1:15" x14ac:dyDescent="0.35">
      <c r="A1015">
        <v>706211002</v>
      </c>
      <c r="B1015" t="s">
        <v>2050</v>
      </c>
      <c r="C1015" t="s">
        <v>424</v>
      </c>
      <c r="D1015" t="s">
        <v>419</v>
      </c>
      <c r="E1015" s="30" t="s">
        <v>14</v>
      </c>
      <c r="F1015" s="31">
        <v>0</v>
      </c>
      <c r="G1015" s="31">
        <v>0</v>
      </c>
      <c r="H1015" s="31">
        <v>0</v>
      </c>
      <c r="I1015" s="31">
        <v>1</v>
      </c>
      <c r="J1015" s="31">
        <f t="shared" si="58"/>
        <v>1</v>
      </c>
      <c r="K1015" s="28">
        <v>118000</v>
      </c>
      <c r="L1015" s="29">
        <v>0.81</v>
      </c>
      <c r="M1015" s="31">
        <f t="shared" si="59"/>
        <v>95580</v>
      </c>
      <c r="N1015" s="28">
        <f t="shared" si="60"/>
        <v>22419.999999999993</v>
      </c>
    </row>
    <row r="1016" spans="1:15" x14ac:dyDescent="0.35">
      <c r="A1016">
        <v>706211004</v>
      </c>
      <c r="B1016" t="s">
        <v>423</v>
      </c>
      <c r="C1016" t="s">
        <v>424</v>
      </c>
      <c r="D1016" t="s">
        <v>419</v>
      </c>
      <c r="E1016" s="30" t="s">
        <v>14</v>
      </c>
      <c r="F1016" s="31">
        <v>0</v>
      </c>
      <c r="G1016" s="31">
        <v>0</v>
      </c>
      <c r="H1016" s="31">
        <v>0</v>
      </c>
      <c r="I1016" s="31">
        <v>16</v>
      </c>
      <c r="J1016" s="31">
        <f t="shared" si="58"/>
        <v>16</v>
      </c>
      <c r="K1016" s="28">
        <v>118000</v>
      </c>
      <c r="L1016" s="29">
        <v>0.81</v>
      </c>
      <c r="M1016" s="31">
        <f t="shared" si="59"/>
        <v>95580</v>
      </c>
      <c r="N1016" s="28">
        <f t="shared" si="60"/>
        <v>22419.999999999993</v>
      </c>
    </row>
    <row r="1017" spans="1:15" x14ac:dyDescent="0.35">
      <c r="A1017">
        <v>734864001</v>
      </c>
      <c r="B1017" t="s">
        <v>1208</v>
      </c>
      <c r="C1017" t="s">
        <v>820</v>
      </c>
      <c r="D1017" t="s">
        <v>419</v>
      </c>
      <c r="E1017" s="30" t="s">
        <v>14</v>
      </c>
      <c r="F1017" s="31">
        <v>0</v>
      </c>
      <c r="G1017" s="31">
        <v>0</v>
      </c>
      <c r="H1017" s="31">
        <v>4</v>
      </c>
      <c r="I1017" s="31">
        <v>2</v>
      </c>
      <c r="J1017" s="31">
        <f t="shared" si="58"/>
        <v>6</v>
      </c>
      <c r="K1017" s="28">
        <v>1848000</v>
      </c>
      <c r="L1017" s="29">
        <v>0.81</v>
      </c>
      <c r="M1017" s="31">
        <f t="shared" si="59"/>
        <v>1496880</v>
      </c>
      <c r="N1017" s="28">
        <f t="shared" si="60"/>
        <v>351119.99999999988</v>
      </c>
      <c r="O1017" s="28">
        <v>924000</v>
      </c>
    </row>
    <row r="1018" spans="1:15" x14ac:dyDescent="0.35">
      <c r="A1018">
        <v>734866001</v>
      </c>
      <c r="B1018" t="s">
        <v>1209</v>
      </c>
      <c r="C1018" t="s">
        <v>820</v>
      </c>
      <c r="D1018" t="s">
        <v>419</v>
      </c>
      <c r="E1018" s="30" t="s">
        <v>14</v>
      </c>
      <c r="F1018" s="31">
        <v>0</v>
      </c>
      <c r="G1018" s="31">
        <v>0</v>
      </c>
      <c r="H1018" s="31">
        <v>1</v>
      </c>
      <c r="I1018" s="31">
        <v>9</v>
      </c>
      <c r="J1018" s="31">
        <f t="shared" si="58"/>
        <v>10</v>
      </c>
      <c r="K1018" s="28">
        <v>1198000</v>
      </c>
      <c r="L1018" s="29">
        <v>0.81</v>
      </c>
      <c r="M1018" s="31">
        <f t="shared" si="59"/>
        <v>970380.00000000012</v>
      </c>
      <c r="N1018" s="28">
        <f t="shared" si="60"/>
        <v>227619.99999999994</v>
      </c>
      <c r="O1018" s="28">
        <v>599000</v>
      </c>
    </row>
    <row r="1019" spans="1:15" x14ac:dyDescent="0.35">
      <c r="A1019">
        <v>734870001</v>
      </c>
      <c r="B1019" t="s">
        <v>1210</v>
      </c>
      <c r="C1019" t="s">
        <v>820</v>
      </c>
      <c r="D1019" t="s">
        <v>419</v>
      </c>
      <c r="E1019" s="30" t="s">
        <v>14</v>
      </c>
      <c r="F1019" s="31">
        <v>0</v>
      </c>
      <c r="G1019" s="31">
        <v>0</v>
      </c>
      <c r="H1019" s="31">
        <v>0</v>
      </c>
      <c r="I1019" s="31">
        <v>6</v>
      </c>
      <c r="J1019" s="31">
        <f t="shared" si="58"/>
        <v>6</v>
      </c>
      <c r="K1019" s="28">
        <v>1198000</v>
      </c>
      <c r="L1019" s="29">
        <v>0.81</v>
      </c>
      <c r="M1019" s="31">
        <f t="shared" si="59"/>
        <v>970380.00000000012</v>
      </c>
      <c r="N1019" s="28">
        <f t="shared" si="60"/>
        <v>227619.99999999994</v>
      </c>
      <c r="O1019" s="28">
        <v>599000</v>
      </c>
    </row>
    <row r="1020" spans="1:15" x14ac:dyDescent="0.35">
      <c r="A1020">
        <v>734877001</v>
      </c>
      <c r="B1020" t="s">
        <v>1211</v>
      </c>
      <c r="C1020" t="s">
        <v>820</v>
      </c>
      <c r="D1020" t="s">
        <v>419</v>
      </c>
      <c r="E1020" s="30" t="s">
        <v>14</v>
      </c>
      <c r="F1020" s="31">
        <v>0</v>
      </c>
      <c r="G1020" s="31">
        <v>0</v>
      </c>
      <c r="H1020" s="31">
        <v>1</v>
      </c>
      <c r="I1020" s="31">
        <v>4</v>
      </c>
      <c r="J1020" s="31">
        <f t="shared" si="58"/>
        <v>5</v>
      </c>
      <c r="K1020" s="28">
        <v>828000</v>
      </c>
      <c r="L1020" s="29">
        <v>0.81</v>
      </c>
      <c r="M1020" s="31">
        <f t="shared" si="59"/>
        <v>670680</v>
      </c>
      <c r="N1020" s="28">
        <f t="shared" si="60"/>
        <v>157319.99999999994</v>
      </c>
      <c r="O1020" s="28">
        <v>414000</v>
      </c>
    </row>
    <row r="1021" spans="1:15" x14ac:dyDescent="0.35">
      <c r="A1021">
        <v>735826001</v>
      </c>
      <c r="B1021" t="s">
        <v>267</v>
      </c>
      <c r="C1021" t="s">
        <v>97</v>
      </c>
      <c r="D1021" t="s">
        <v>266</v>
      </c>
      <c r="E1021" s="30" t="s">
        <v>14</v>
      </c>
      <c r="F1021" s="31">
        <v>0</v>
      </c>
      <c r="G1021" s="31">
        <v>0</v>
      </c>
      <c r="H1021" s="31">
        <v>0</v>
      </c>
      <c r="I1021" s="31">
        <v>1</v>
      </c>
      <c r="J1021" s="31">
        <f t="shared" si="58"/>
        <v>1</v>
      </c>
      <c r="K1021" s="28">
        <v>2998000</v>
      </c>
      <c r="L1021" s="29">
        <v>0.45</v>
      </c>
      <c r="M1021" s="31">
        <f t="shared" si="59"/>
        <v>1349100</v>
      </c>
      <c r="N1021" s="28">
        <f t="shared" si="60"/>
        <v>1648900.0000000002</v>
      </c>
    </row>
    <row r="1022" spans="1:15" x14ac:dyDescent="0.35">
      <c r="A1022">
        <v>724653001</v>
      </c>
      <c r="B1022" t="s">
        <v>489</v>
      </c>
      <c r="C1022" t="s">
        <v>449</v>
      </c>
      <c r="D1022" t="s">
        <v>266</v>
      </c>
      <c r="E1022" s="30" t="s">
        <v>14</v>
      </c>
      <c r="F1022" s="31">
        <v>0</v>
      </c>
      <c r="G1022" s="31">
        <v>0</v>
      </c>
      <c r="H1022" s="31">
        <v>0</v>
      </c>
      <c r="I1022" s="31">
        <v>1</v>
      </c>
      <c r="J1022" s="31">
        <f t="shared" si="58"/>
        <v>1</v>
      </c>
      <c r="K1022" s="28">
        <v>1298000</v>
      </c>
      <c r="L1022" s="29">
        <v>0.45</v>
      </c>
      <c r="M1022" s="31">
        <f t="shared" si="59"/>
        <v>584100</v>
      </c>
      <c r="N1022" s="28">
        <f t="shared" si="60"/>
        <v>713900</v>
      </c>
      <c r="O1022" s="28">
        <v>1038400</v>
      </c>
    </row>
    <row r="1023" spans="1:15" x14ac:dyDescent="0.35">
      <c r="A1023">
        <v>722056001</v>
      </c>
      <c r="B1023" t="s">
        <v>2051</v>
      </c>
      <c r="C1023" t="s">
        <v>490</v>
      </c>
      <c r="D1023" t="s">
        <v>266</v>
      </c>
      <c r="E1023" s="30" t="s">
        <v>14</v>
      </c>
      <c r="F1023" s="31">
        <v>0</v>
      </c>
      <c r="G1023" s="31">
        <v>0</v>
      </c>
      <c r="H1023" s="31">
        <v>0</v>
      </c>
      <c r="I1023" s="31">
        <v>19</v>
      </c>
      <c r="J1023" s="31">
        <f t="shared" si="58"/>
        <v>19</v>
      </c>
      <c r="K1023" s="28">
        <v>998000</v>
      </c>
      <c r="L1023" s="29">
        <v>0.17</v>
      </c>
      <c r="M1023" s="31">
        <f t="shared" si="59"/>
        <v>169660</v>
      </c>
      <c r="N1023" s="28">
        <f t="shared" si="60"/>
        <v>828340</v>
      </c>
    </row>
    <row r="1024" spans="1:15" x14ac:dyDescent="0.35">
      <c r="A1024">
        <v>722057001</v>
      </c>
      <c r="B1024" t="s">
        <v>2052</v>
      </c>
      <c r="C1024" t="s">
        <v>490</v>
      </c>
      <c r="D1024" t="s">
        <v>266</v>
      </c>
      <c r="E1024" s="30" t="s">
        <v>14</v>
      </c>
      <c r="F1024" s="31">
        <v>0</v>
      </c>
      <c r="G1024" s="31">
        <v>0</v>
      </c>
      <c r="H1024" s="31">
        <v>0</v>
      </c>
      <c r="I1024" s="31">
        <v>3</v>
      </c>
      <c r="J1024" s="31">
        <f t="shared" si="58"/>
        <v>3</v>
      </c>
      <c r="K1024" s="28">
        <v>998000</v>
      </c>
      <c r="L1024" s="29">
        <v>0.17</v>
      </c>
      <c r="M1024" s="31">
        <f t="shared" si="59"/>
        <v>169660</v>
      </c>
      <c r="N1024" s="28">
        <f t="shared" si="60"/>
        <v>828340</v>
      </c>
    </row>
    <row r="1025" spans="1:15" x14ac:dyDescent="0.35">
      <c r="A1025">
        <v>722058001</v>
      </c>
      <c r="B1025" t="s">
        <v>2053</v>
      </c>
      <c r="C1025" t="s">
        <v>490</v>
      </c>
      <c r="D1025" t="s">
        <v>266</v>
      </c>
      <c r="E1025" s="30" t="s">
        <v>14</v>
      </c>
      <c r="F1025" s="31">
        <v>0</v>
      </c>
      <c r="G1025" s="31">
        <v>0</v>
      </c>
      <c r="H1025" s="31">
        <v>0</v>
      </c>
      <c r="I1025" s="31">
        <v>33</v>
      </c>
      <c r="J1025" s="31">
        <f t="shared" si="58"/>
        <v>33</v>
      </c>
      <c r="K1025" s="28">
        <v>998000</v>
      </c>
      <c r="L1025" s="29">
        <v>0.17</v>
      </c>
      <c r="M1025" s="31">
        <f t="shared" si="59"/>
        <v>169660</v>
      </c>
      <c r="N1025" s="28">
        <f t="shared" si="60"/>
        <v>828340</v>
      </c>
    </row>
    <row r="1026" spans="1:15" x14ac:dyDescent="0.35">
      <c r="A1026">
        <v>722992001</v>
      </c>
      <c r="B1026" t="s">
        <v>2054</v>
      </c>
      <c r="C1026" t="s">
        <v>490</v>
      </c>
      <c r="D1026" t="s">
        <v>266</v>
      </c>
      <c r="E1026" s="30" t="s">
        <v>14</v>
      </c>
      <c r="F1026" s="31">
        <v>0</v>
      </c>
      <c r="G1026" s="31">
        <v>0</v>
      </c>
      <c r="H1026" s="31">
        <v>1</v>
      </c>
      <c r="I1026" s="31">
        <v>23</v>
      </c>
      <c r="J1026" s="31">
        <f t="shared" si="58"/>
        <v>24</v>
      </c>
      <c r="K1026" s="28">
        <v>998000</v>
      </c>
      <c r="L1026" s="29">
        <v>0.17</v>
      </c>
      <c r="M1026" s="31">
        <f t="shared" si="59"/>
        <v>169660</v>
      </c>
      <c r="N1026" s="28">
        <f t="shared" si="60"/>
        <v>828340</v>
      </c>
    </row>
    <row r="1027" spans="1:15" x14ac:dyDescent="0.35">
      <c r="A1027">
        <v>731396001</v>
      </c>
      <c r="B1027" t="s">
        <v>2055</v>
      </c>
      <c r="C1027" t="s">
        <v>490</v>
      </c>
      <c r="D1027" t="s">
        <v>266</v>
      </c>
      <c r="E1027" s="30" t="s">
        <v>14</v>
      </c>
      <c r="F1027" s="31">
        <v>0</v>
      </c>
      <c r="G1027" s="31">
        <v>101</v>
      </c>
      <c r="H1027" s="31">
        <v>42</v>
      </c>
      <c r="I1027" s="31">
        <v>57</v>
      </c>
      <c r="J1027" s="31">
        <f t="shared" si="58"/>
        <v>200</v>
      </c>
      <c r="K1027" s="28">
        <v>348000</v>
      </c>
      <c r="L1027" s="29">
        <v>0.17</v>
      </c>
      <c r="M1027" s="31">
        <f t="shared" si="59"/>
        <v>59160.000000000007</v>
      </c>
      <c r="N1027" s="28">
        <f t="shared" ref="N1027:N1090" si="61">K1027*(1-L1027)</f>
        <v>288840</v>
      </c>
    </row>
    <row r="1028" spans="1:15" x14ac:dyDescent="0.35">
      <c r="A1028">
        <v>731400001</v>
      </c>
      <c r="B1028" t="s">
        <v>2056</v>
      </c>
      <c r="C1028" t="s">
        <v>490</v>
      </c>
      <c r="D1028" t="s">
        <v>266</v>
      </c>
      <c r="E1028" s="30" t="s">
        <v>14</v>
      </c>
      <c r="F1028" s="31">
        <v>0</v>
      </c>
      <c r="G1028" s="31">
        <v>0</v>
      </c>
      <c r="H1028" s="31">
        <v>0</v>
      </c>
      <c r="I1028" s="31">
        <v>10</v>
      </c>
      <c r="J1028" s="31">
        <f t="shared" ref="J1028:J1091" si="62">SUM(F1028:I1028)</f>
        <v>10</v>
      </c>
      <c r="K1028" s="28">
        <v>428000</v>
      </c>
      <c r="L1028" s="29">
        <v>0.45</v>
      </c>
      <c r="M1028" s="31">
        <f t="shared" ref="M1028:M1091" si="63">K1028*L1028</f>
        <v>192600</v>
      </c>
      <c r="N1028" s="28">
        <f t="shared" si="61"/>
        <v>235400.00000000003</v>
      </c>
    </row>
    <row r="1029" spans="1:15" x14ac:dyDescent="0.35">
      <c r="A1029">
        <v>735594001</v>
      </c>
      <c r="B1029" t="s">
        <v>2057</v>
      </c>
      <c r="C1029" t="s">
        <v>490</v>
      </c>
      <c r="D1029" t="s">
        <v>266</v>
      </c>
      <c r="E1029" s="30" t="s">
        <v>14</v>
      </c>
      <c r="F1029" s="31">
        <v>0</v>
      </c>
      <c r="G1029" s="31">
        <v>1</v>
      </c>
      <c r="H1029" s="31">
        <v>1</v>
      </c>
      <c r="I1029" s="31">
        <v>27</v>
      </c>
      <c r="J1029" s="31">
        <f t="shared" si="62"/>
        <v>29</v>
      </c>
      <c r="K1029" s="28">
        <v>998000</v>
      </c>
      <c r="L1029" s="29">
        <v>0.45</v>
      </c>
      <c r="M1029" s="31">
        <f t="shared" si="63"/>
        <v>449100</v>
      </c>
      <c r="N1029" s="28">
        <f t="shared" si="61"/>
        <v>548900</v>
      </c>
    </row>
    <row r="1030" spans="1:15" x14ac:dyDescent="0.35">
      <c r="A1030">
        <v>735597001</v>
      </c>
      <c r="B1030" t="s">
        <v>2058</v>
      </c>
      <c r="C1030" t="s">
        <v>490</v>
      </c>
      <c r="D1030" t="s">
        <v>266</v>
      </c>
      <c r="E1030" s="30" t="s">
        <v>14</v>
      </c>
      <c r="F1030" s="31">
        <v>0</v>
      </c>
      <c r="G1030" s="31">
        <v>0</v>
      </c>
      <c r="H1030" s="31">
        <v>0</v>
      </c>
      <c r="I1030" s="31">
        <v>2</v>
      </c>
      <c r="J1030" s="31">
        <f t="shared" si="62"/>
        <v>2</v>
      </c>
      <c r="K1030" s="28">
        <v>698000</v>
      </c>
      <c r="L1030" s="29">
        <v>0.45</v>
      </c>
      <c r="M1030" s="31">
        <f t="shared" si="63"/>
        <v>314100</v>
      </c>
      <c r="N1030" s="28">
        <f t="shared" si="61"/>
        <v>383900.00000000006</v>
      </c>
    </row>
    <row r="1031" spans="1:15" x14ac:dyDescent="0.35">
      <c r="A1031">
        <v>729072</v>
      </c>
      <c r="B1031" t="s">
        <v>1213</v>
      </c>
      <c r="C1031" t="s">
        <v>368</v>
      </c>
      <c r="D1031" t="s">
        <v>1214</v>
      </c>
      <c r="E1031" s="30">
        <v>0</v>
      </c>
      <c r="F1031" s="31">
        <v>5300</v>
      </c>
      <c r="G1031" s="31">
        <v>0</v>
      </c>
      <c r="H1031" s="31">
        <v>0</v>
      </c>
      <c r="I1031" s="31">
        <v>11</v>
      </c>
      <c r="J1031" s="31">
        <f t="shared" si="62"/>
        <v>5311</v>
      </c>
      <c r="K1031" s="28">
        <v>99000</v>
      </c>
      <c r="L1031" s="29">
        <v>0.81</v>
      </c>
      <c r="M1031" s="31">
        <f t="shared" si="63"/>
        <v>80190</v>
      </c>
      <c r="N1031" s="28">
        <f t="shared" si="61"/>
        <v>18809.999999999996</v>
      </c>
      <c r="O1031" s="28">
        <v>49000</v>
      </c>
    </row>
    <row r="1032" spans="1:15" x14ac:dyDescent="0.35">
      <c r="A1032">
        <v>729758</v>
      </c>
      <c r="B1032" t="s">
        <v>1215</v>
      </c>
      <c r="C1032" t="s">
        <v>368</v>
      </c>
      <c r="D1032" t="s">
        <v>1214</v>
      </c>
      <c r="E1032" s="30" t="s">
        <v>14</v>
      </c>
      <c r="F1032" s="31">
        <v>10940</v>
      </c>
      <c r="G1032" s="31">
        <v>0</v>
      </c>
      <c r="H1032" s="31">
        <v>0</v>
      </c>
      <c r="I1032" s="31">
        <v>27</v>
      </c>
      <c r="J1032" s="31">
        <f t="shared" si="62"/>
        <v>10967</v>
      </c>
      <c r="K1032" s="28">
        <v>99000</v>
      </c>
      <c r="L1032" s="29">
        <v>0.81</v>
      </c>
      <c r="M1032" s="31">
        <f t="shared" si="63"/>
        <v>80190</v>
      </c>
      <c r="N1032" s="28">
        <f t="shared" si="61"/>
        <v>18809.999999999996</v>
      </c>
      <c r="O1032" s="28">
        <v>49000</v>
      </c>
    </row>
    <row r="1033" spans="1:15" x14ac:dyDescent="0.35">
      <c r="A1033">
        <v>732844</v>
      </c>
      <c r="B1033" t="s">
        <v>1216</v>
      </c>
      <c r="C1033" t="s">
        <v>368</v>
      </c>
      <c r="D1033" t="s">
        <v>1214</v>
      </c>
      <c r="E1033" s="30">
        <v>0</v>
      </c>
      <c r="F1033" s="31">
        <v>949</v>
      </c>
      <c r="G1033" s="31">
        <v>1</v>
      </c>
      <c r="H1033" s="31">
        <v>0</v>
      </c>
      <c r="I1033" s="31">
        <v>5</v>
      </c>
      <c r="J1033" s="31">
        <f t="shared" si="62"/>
        <v>955</v>
      </c>
      <c r="K1033" s="28">
        <v>179000</v>
      </c>
      <c r="L1033" s="29">
        <v>0.81</v>
      </c>
      <c r="M1033" s="31">
        <f t="shared" si="63"/>
        <v>144990</v>
      </c>
      <c r="N1033" s="28">
        <f t="shared" si="61"/>
        <v>34009.999999999993</v>
      </c>
      <c r="O1033" s="28">
        <v>89000</v>
      </c>
    </row>
    <row r="1034" spans="1:15" x14ac:dyDescent="0.35">
      <c r="A1034">
        <v>716563</v>
      </c>
      <c r="B1034" t="s">
        <v>1217</v>
      </c>
      <c r="C1034" t="s">
        <v>490</v>
      </c>
      <c r="D1034" t="s">
        <v>1214</v>
      </c>
      <c r="E1034" s="30" t="s">
        <v>14</v>
      </c>
      <c r="F1034" s="31">
        <v>0</v>
      </c>
      <c r="G1034" s="31">
        <v>0</v>
      </c>
      <c r="H1034" s="31">
        <v>0</v>
      </c>
      <c r="I1034" s="31">
        <v>4</v>
      </c>
      <c r="J1034" s="31">
        <f t="shared" si="62"/>
        <v>4</v>
      </c>
      <c r="K1034" s="28">
        <v>198000</v>
      </c>
      <c r="L1034" s="29">
        <v>0.81</v>
      </c>
      <c r="M1034" s="31">
        <f t="shared" si="63"/>
        <v>160380</v>
      </c>
      <c r="N1034" s="28">
        <f t="shared" si="61"/>
        <v>37619.999999999993</v>
      </c>
      <c r="O1034" s="28">
        <v>99000</v>
      </c>
    </row>
    <row r="1035" spans="1:15" x14ac:dyDescent="0.35">
      <c r="A1035">
        <v>723075</v>
      </c>
      <c r="B1035" t="s">
        <v>1218</v>
      </c>
      <c r="C1035" t="s">
        <v>490</v>
      </c>
      <c r="D1035" t="s">
        <v>1214</v>
      </c>
      <c r="E1035" s="30" t="s">
        <v>14</v>
      </c>
      <c r="F1035" s="31">
        <v>0</v>
      </c>
      <c r="G1035" s="31">
        <v>1</v>
      </c>
      <c r="H1035" s="31">
        <v>0</v>
      </c>
      <c r="I1035" s="31">
        <v>21</v>
      </c>
      <c r="J1035" s="31">
        <f t="shared" si="62"/>
        <v>22</v>
      </c>
      <c r="K1035" s="28">
        <v>198000</v>
      </c>
      <c r="L1035" s="29">
        <v>0.81</v>
      </c>
      <c r="M1035" s="31">
        <f t="shared" si="63"/>
        <v>160380</v>
      </c>
      <c r="N1035" s="28">
        <f t="shared" si="61"/>
        <v>37619.999999999993</v>
      </c>
      <c r="O1035" s="28">
        <v>99000</v>
      </c>
    </row>
    <row r="1036" spans="1:15" x14ac:dyDescent="0.35">
      <c r="A1036">
        <v>737940001</v>
      </c>
      <c r="B1036" t="s">
        <v>367</v>
      </c>
      <c r="C1036" t="s">
        <v>368</v>
      </c>
      <c r="D1036" t="s">
        <v>369</v>
      </c>
      <c r="E1036" s="30" t="s">
        <v>14</v>
      </c>
      <c r="F1036" s="31">
        <v>0</v>
      </c>
      <c r="G1036" s="31">
        <v>0</v>
      </c>
      <c r="H1036" s="31">
        <v>0</v>
      </c>
      <c r="I1036" s="31">
        <v>10</v>
      </c>
      <c r="J1036" s="31">
        <f t="shared" si="62"/>
        <v>10</v>
      </c>
      <c r="K1036" s="28">
        <v>278000</v>
      </c>
      <c r="L1036" s="29">
        <v>0.45</v>
      </c>
      <c r="M1036" s="31">
        <f t="shared" si="63"/>
        <v>125100</v>
      </c>
      <c r="N1036" s="28">
        <f t="shared" si="61"/>
        <v>152900</v>
      </c>
    </row>
    <row r="1037" spans="1:15" x14ac:dyDescent="0.35">
      <c r="A1037">
        <v>735268001</v>
      </c>
      <c r="B1037" t="s">
        <v>2059</v>
      </c>
      <c r="C1037" t="s">
        <v>391</v>
      </c>
      <c r="D1037" t="s">
        <v>1225</v>
      </c>
      <c r="E1037" s="30" t="s">
        <v>14</v>
      </c>
      <c r="F1037" s="31">
        <v>0</v>
      </c>
      <c r="G1037" s="31">
        <v>4</v>
      </c>
      <c r="H1037" s="31">
        <v>12</v>
      </c>
      <c r="I1037" s="31">
        <v>74</v>
      </c>
      <c r="J1037" s="31">
        <f t="shared" si="62"/>
        <v>90</v>
      </c>
      <c r="K1037" s="28">
        <v>89000</v>
      </c>
      <c r="L1037" s="29">
        <v>0.81</v>
      </c>
      <c r="M1037" s="31">
        <f t="shared" si="63"/>
        <v>72090</v>
      </c>
      <c r="N1037" s="28">
        <f t="shared" si="61"/>
        <v>16909.999999999996</v>
      </c>
    </row>
    <row r="1038" spans="1:15" x14ac:dyDescent="0.35">
      <c r="A1038">
        <v>201056001</v>
      </c>
      <c r="B1038" t="s">
        <v>1224</v>
      </c>
      <c r="C1038" t="s">
        <v>368</v>
      </c>
      <c r="D1038" t="s">
        <v>1225</v>
      </c>
      <c r="E1038" s="30" t="s">
        <v>14</v>
      </c>
      <c r="F1038" s="31">
        <v>0</v>
      </c>
      <c r="G1038" s="31">
        <v>0</v>
      </c>
      <c r="H1038" s="31">
        <v>0</v>
      </c>
      <c r="I1038" s="31">
        <v>14</v>
      </c>
      <c r="J1038" s="31">
        <f t="shared" si="62"/>
        <v>14</v>
      </c>
      <c r="K1038" s="28">
        <v>22000</v>
      </c>
      <c r="L1038" s="29">
        <v>0.81</v>
      </c>
      <c r="M1038" s="31">
        <f t="shared" si="63"/>
        <v>17820</v>
      </c>
      <c r="N1038" s="28">
        <f t="shared" si="61"/>
        <v>4179.9999999999991</v>
      </c>
      <c r="O1038" s="28">
        <v>11000</v>
      </c>
    </row>
    <row r="1039" spans="1:15" x14ac:dyDescent="0.35">
      <c r="A1039">
        <v>201858001</v>
      </c>
      <c r="B1039" t="s">
        <v>2060</v>
      </c>
      <c r="C1039" t="s">
        <v>368</v>
      </c>
      <c r="D1039" t="s">
        <v>1225</v>
      </c>
      <c r="E1039" s="30" t="s">
        <v>14</v>
      </c>
      <c r="F1039" s="31">
        <v>0</v>
      </c>
      <c r="G1039" s="31">
        <v>0</v>
      </c>
      <c r="H1039" s="31">
        <v>0</v>
      </c>
      <c r="I1039" s="31">
        <v>6</v>
      </c>
      <c r="J1039" s="31">
        <f t="shared" si="62"/>
        <v>6</v>
      </c>
      <c r="K1039" s="28">
        <v>44000</v>
      </c>
      <c r="L1039" s="29">
        <v>0.45</v>
      </c>
      <c r="M1039" s="31">
        <f t="shared" si="63"/>
        <v>19800</v>
      </c>
      <c r="N1039" s="28">
        <f t="shared" si="61"/>
        <v>24200.000000000004</v>
      </c>
    </row>
    <row r="1040" spans="1:15" x14ac:dyDescent="0.35">
      <c r="A1040">
        <v>202433001</v>
      </c>
      <c r="B1040" t="s">
        <v>2061</v>
      </c>
      <c r="C1040" t="s">
        <v>368</v>
      </c>
      <c r="D1040" t="s">
        <v>1225</v>
      </c>
      <c r="E1040" s="30" t="s">
        <v>14</v>
      </c>
      <c r="F1040" s="31">
        <v>0</v>
      </c>
      <c r="G1040" s="31">
        <v>0</v>
      </c>
      <c r="H1040" s="31">
        <v>0</v>
      </c>
      <c r="I1040" s="31">
        <v>37</v>
      </c>
      <c r="J1040" s="31">
        <f t="shared" si="62"/>
        <v>37</v>
      </c>
      <c r="K1040" s="28">
        <v>49000</v>
      </c>
      <c r="L1040" s="29">
        <v>0.45</v>
      </c>
      <c r="M1040" s="31">
        <f t="shared" si="63"/>
        <v>22050</v>
      </c>
      <c r="N1040" s="28">
        <f t="shared" si="61"/>
        <v>26950.000000000004</v>
      </c>
    </row>
    <row r="1041" spans="1:15" x14ac:dyDescent="0.35">
      <c r="A1041">
        <v>500819001</v>
      </c>
      <c r="B1041" t="s">
        <v>2062</v>
      </c>
      <c r="C1041" t="s">
        <v>368</v>
      </c>
      <c r="D1041" t="s">
        <v>1225</v>
      </c>
      <c r="E1041" s="30" t="s">
        <v>14</v>
      </c>
      <c r="F1041" s="31">
        <v>0</v>
      </c>
      <c r="G1041" s="31">
        <v>0</v>
      </c>
      <c r="H1041" s="31">
        <v>0</v>
      </c>
      <c r="I1041" s="31">
        <v>6</v>
      </c>
      <c r="J1041" s="31">
        <f t="shared" si="62"/>
        <v>6</v>
      </c>
      <c r="K1041" s="28">
        <v>25000</v>
      </c>
      <c r="L1041" s="29">
        <v>0.45</v>
      </c>
      <c r="M1041" s="31">
        <f t="shared" si="63"/>
        <v>11250</v>
      </c>
      <c r="N1041" s="28">
        <f t="shared" si="61"/>
        <v>13750.000000000002</v>
      </c>
    </row>
    <row r="1042" spans="1:15" x14ac:dyDescent="0.35">
      <c r="A1042">
        <v>500825001</v>
      </c>
      <c r="B1042" t="s">
        <v>2063</v>
      </c>
      <c r="C1042" t="s">
        <v>368</v>
      </c>
      <c r="D1042" t="s">
        <v>1225</v>
      </c>
      <c r="E1042" s="30" t="s">
        <v>14</v>
      </c>
      <c r="F1042" s="31">
        <v>0</v>
      </c>
      <c r="G1042" s="31">
        <v>10</v>
      </c>
      <c r="H1042" s="31">
        <v>0</v>
      </c>
      <c r="I1042" s="31">
        <v>50</v>
      </c>
      <c r="J1042" s="31">
        <f t="shared" si="62"/>
        <v>60</v>
      </c>
      <c r="K1042" s="28">
        <v>29000</v>
      </c>
      <c r="L1042" s="29">
        <v>0.45</v>
      </c>
      <c r="M1042" s="31">
        <f t="shared" si="63"/>
        <v>13050</v>
      </c>
      <c r="N1042" s="28">
        <f t="shared" si="61"/>
        <v>15950.000000000002</v>
      </c>
    </row>
    <row r="1043" spans="1:15" x14ac:dyDescent="0.35">
      <c r="A1043">
        <v>721617001</v>
      </c>
      <c r="B1043" t="s">
        <v>2064</v>
      </c>
      <c r="C1043" t="s">
        <v>368</v>
      </c>
      <c r="D1043" t="s">
        <v>1225</v>
      </c>
      <c r="E1043" s="30" t="s">
        <v>14</v>
      </c>
      <c r="F1043" s="31">
        <v>0</v>
      </c>
      <c r="G1043" s="31">
        <v>0</v>
      </c>
      <c r="H1043" s="31">
        <v>0</v>
      </c>
      <c r="I1043" s="31">
        <v>1</v>
      </c>
      <c r="J1043" s="31">
        <f t="shared" si="62"/>
        <v>1</v>
      </c>
      <c r="K1043" s="28">
        <v>35000</v>
      </c>
      <c r="L1043" s="29">
        <v>0.45</v>
      </c>
      <c r="M1043" s="31">
        <f t="shared" si="63"/>
        <v>15750</v>
      </c>
      <c r="N1043" s="28">
        <f t="shared" si="61"/>
        <v>19250</v>
      </c>
    </row>
    <row r="1044" spans="1:15" x14ac:dyDescent="0.35">
      <c r="A1044">
        <v>721618001</v>
      </c>
      <c r="B1044" t="s">
        <v>2065</v>
      </c>
      <c r="C1044" t="s">
        <v>368</v>
      </c>
      <c r="D1044" t="s">
        <v>1225</v>
      </c>
      <c r="E1044" s="30" t="s">
        <v>14</v>
      </c>
      <c r="F1044" s="31">
        <v>0</v>
      </c>
      <c r="G1044" s="31">
        <v>3</v>
      </c>
      <c r="H1044" s="31">
        <v>0</v>
      </c>
      <c r="I1044" s="31">
        <v>66</v>
      </c>
      <c r="J1044" s="31">
        <f t="shared" si="62"/>
        <v>69</v>
      </c>
      <c r="K1044" s="28">
        <v>35000</v>
      </c>
      <c r="L1044" s="29">
        <v>0.45</v>
      </c>
      <c r="M1044" s="31">
        <f t="shared" si="63"/>
        <v>15750</v>
      </c>
      <c r="N1044" s="28">
        <f t="shared" si="61"/>
        <v>19250</v>
      </c>
    </row>
    <row r="1045" spans="1:15" x14ac:dyDescent="0.35">
      <c r="A1045">
        <v>721619001</v>
      </c>
      <c r="B1045" t="s">
        <v>2066</v>
      </c>
      <c r="C1045" t="s">
        <v>368</v>
      </c>
      <c r="D1045" t="s">
        <v>1225</v>
      </c>
      <c r="E1045" s="30" t="s">
        <v>14</v>
      </c>
      <c r="F1045" s="31">
        <v>0</v>
      </c>
      <c r="G1045" s="31">
        <v>0</v>
      </c>
      <c r="H1045" s="31">
        <v>0</v>
      </c>
      <c r="I1045" s="31">
        <v>55</v>
      </c>
      <c r="J1045" s="31">
        <f t="shared" si="62"/>
        <v>55</v>
      </c>
      <c r="K1045" s="28">
        <v>54000</v>
      </c>
      <c r="L1045" s="29">
        <v>0.45</v>
      </c>
      <c r="M1045" s="31">
        <f t="shared" si="63"/>
        <v>24300</v>
      </c>
      <c r="N1045" s="28">
        <f t="shared" si="61"/>
        <v>29700.000000000004</v>
      </c>
    </row>
    <row r="1046" spans="1:15" x14ac:dyDescent="0.35">
      <c r="A1046">
        <v>723418</v>
      </c>
      <c r="B1046" t="s">
        <v>1226</v>
      </c>
      <c r="C1046" t="s">
        <v>391</v>
      </c>
      <c r="D1046" t="s">
        <v>438</v>
      </c>
      <c r="E1046" s="30" t="s">
        <v>14</v>
      </c>
      <c r="F1046" s="31">
        <v>0</v>
      </c>
      <c r="G1046" s="31">
        <v>0</v>
      </c>
      <c r="H1046" s="31">
        <v>0</v>
      </c>
      <c r="I1046" s="31">
        <v>3</v>
      </c>
      <c r="J1046" s="31">
        <f t="shared" si="62"/>
        <v>3</v>
      </c>
      <c r="K1046" s="28">
        <v>328000</v>
      </c>
      <c r="L1046" s="29">
        <v>0.81</v>
      </c>
      <c r="M1046" s="31">
        <f t="shared" si="63"/>
        <v>265680</v>
      </c>
      <c r="N1046" s="28">
        <f t="shared" si="61"/>
        <v>62319.999999999985</v>
      </c>
      <c r="O1046" s="28">
        <v>98400.000000000015</v>
      </c>
    </row>
    <row r="1047" spans="1:15" x14ac:dyDescent="0.35">
      <c r="A1047">
        <v>723419</v>
      </c>
      <c r="B1047" t="s">
        <v>1227</v>
      </c>
      <c r="C1047" t="s">
        <v>391</v>
      </c>
      <c r="D1047" t="s">
        <v>438</v>
      </c>
      <c r="E1047" s="30" t="s">
        <v>14</v>
      </c>
      <c r="F1047" s="31">
        <v>0</v>
      </c>
      <c r="G1047" s="31">
        <v>0</v>
      </c>
      <c r="H1047" s="31">
        <v>0</v>
      </c>
      <c r="I1047" s="31">
        <v>31</v>
      </c>
      <c r="J1047" s="31">
        <f t="shared" si="62"/>
        <v>31</v>
      </c>
      <c r="K1047" s="28">
        <v>328000</v>
      </c>
      <c r="L1047" s="29">
        <v>0.81</v>
      </c>
      <c r="M1047" s="31">
        <f t="shared" si="63"/>
        <v>265680</v>
      </c>
      <c r="N1047" s="28">
        <f t="shared" si="61"/>
        <v>62319.999999999985</v>
      </c>
      <c r="O1047" s="28">
        <v>98400.000000000015</v>
      </c>
    </row>
    <row r="1048" spans="1:15" x14ac:dyDescent="0.35">
      <c r="A1048">
        <v>723420</v>
      </c>
      <c r="B1048" t="s">
        <v>1228</v>
      </c>
      <c r="C1048" t="s">
        <v>391</v>
      </c>
      <c r="D1048" t="s">
        <v>438</v>
      </c>
      <c r="E1048" s="30" t="s">
        <v>14</v>
      </c>
      <c r="F1048" s="31">
        <v>0</v>
      </c>
      <c r="G1048" s="31">
        <v>0</v>
      </c>
      <c r="H1048" s="31">
        <v>0</v>
      </c>
      <c r="I1048" s="31">
        <v>3</v>
      </c>
      <c r="J1048" s="31">
        <f t="shared" si="62"/>
        <v>3</v>
      </c>
      <c r="K1048" s="28">
        <v>328000</v>
      </c>
      <c r="L1048" s="29">
        <v>0.81</v>
      </c>
      <c r="M1048" s="31">
        <f t="shared" si="63"/>
        <v>265680</v>
      </c>
      <c r="N1048" s="28">
        <f t="shared" si="61"/>
        <v>62319.999999999985</v>
      </c>
      <c r="O1048" s="28">
        <v>98400.000000000015</v>
      </c>
    </row>
    <row r="1049" spans="1:15" x14ac:dyDescent="0.35">
      <c r="A1049">
        <v>723421</v>
      </c>
      <c r="B1049" t="s">
        <v>1229</v>
      </c>
      <c r="C1049" t="s">
        <v>391</v>
      </c>
      <c r="D1049" t="s">
        <v>438</v>
      </c>
      <c r="E1049" s="30" t="s">
        <v>14</v>
      </c>
      <c r="F1049" s="31">
        <v>0</v>
      </c>
      <c r="G1049" s="31">
        <v>0</v>
      </c>
      <c r="H1049" s="31">
        <v>0</v>
      </c>
      <c r="I1049" s="31">
        <v>18</v>
      </c>
      <c r="J1049" s="31">
        <f t="shared" si="62"/>
        <v>18</v>
      </c>
      <c r="K1049" s="28">
        <v>328000</v>
      </c>
      <c r="L1049" s="29">
        <v>0.81</v>
      </c>
      <c r="M1049" s="31">
        <f t="shared" si="63"/>
        <v>265680</v>
      </c>
      <c r="N1049" s="28">
        <f t="shared" si="61"/>
        <v>62319.999999999985</v>
      </c>
      <c r="O1049" s="28">
        <v>98400.000000000015</v>
      </c>
    </row>
    <row r="1050" spans="1:15" x14ac:dyDescent="0.35">
      <c r="A1050">
        <v>734655</v>
      </c>
      <c r="B1050" t="s">
        <v>1230</v>
      </c>
      <c r="C1050" t="s">
        <v>391</v>
      </c>
      <c r="D1050" t="s">
        <v>438</v>
      </c>
      <c r="E1050" s="30" t="s">
        <v>14</v>
      </c>
      <c r="F1050" s="31">
        <v>0</v>
      </c>
      <c r="G1050" s="31">
        <v>0</v>
      </c>
      <c r="H1050" s="31">
        <v>0</v>
      </c>
      <c r="I1050" s="31">
        <v>1</v>
      </c>
      <c r="J1050" s="31">
        <f t="shared" si="62"/>
        <v>1</v>
      </c>
      <c r="K1050" s="28">
        <v>348000</v>
      </c>
      <c r="L1050" s="29">
        <v>0.81</v>
      </c>
      <c r="M1050" s="31">
        <f t="shared" si="63"/>
        <v>281880</v>
      </c>
      <c r="N1050" s="28">
        <f t="shared" si="61"/>
        <v>66119.999999999985</v>
      </c>
      <c r="O1050" s="28">
        <v>104400.00000000001</v>
      </c>
    </row>
    <row r="1051" spans="1:15" x14ac:dyDescent="0.35">
      <c r="A1051">
        <v>734656</v>
      </c>
      <c r="B1051" t="s">
        <v>1231</v>
      </c>
      <c r="C1051" t="s">
        <v>391</v>
      </c>
      <c r="D1051" t="s">
        <v>438</v>
      </c>
      <c r="E1051" s="30" t="s">
        <v>14</v>
      </c>
      <c r="F1051" s="31">
        <v>0</v>
      </c>
      <c r="G1051" s="31">
        <v>0</v>
      </c>
      <c r="H1051" s="31">
        <v>0</v>
      </c>
      <c r="I1051" s="31">
        <v>1</v>
      </c>
      <c r="J1051" s="31">
        <f t="shared" si="62"/>
        <v>1</v>
      </c>
      <c r="K1051" s="28">
        <v>348000</v>
      </c>
      <c r="L1051" s="29">
        <v>0.81</v>
      </c>
      <c r="M1051" s="31">
        <f t="shared" si="63"/>
        <v>281880</v>
      </c>
      <c r="N1051" s="28">
        <f t="shared" si="61"/>
        <v>66119.999999999985</v>
      </c>
      <c r="O1051" s="28">
        <v>104400.00000000001</v>
      </c>
    </row>
    <row r="1052" spans="1:15" x14ac:dyDescent="0.35">
      <c r="A1052">
        <v>734657</v>
      </c>
      <c r="B1052" t="s">
        <v>1232</v>
      </c>
      <c r="C1052" t="s">
        <v>391</v>
      </c>
      <c r="D1052" t="s">
        <v>438</v>
      </c>
      <c r="E1052" s="30" t="s">
        <v>14</v>
      </c>
      <c r="F1052" s="31">
        <v>0</v>
      </c>
      <c r="G1052" s="31">
        <v>0</v>
      </c>
      <c r="H1052" s="31">
        <v>0</v>
      </c>
      <c r="I1052" s="31">
        <v>74</v>
      </c>
      <c r="J1052" s="31">
        <f t="shared" si="62"/>
        <v>74</v>
      </c>
      <c r="K1052" s="28">
        <v>348000</v>
      </c>
      <c r="L1052" s="29">
        <v>0.81</v>
      </c>
      <c r="M1052" s="31">
        <f t="shared" si="63"/>
        <v>281880</v>
      </c>
      <c r="N1052" s="28">
        <f t="shared" si="61"/>
        <v>66119.999999999985</v>
      </c>
      <c r="O1052" s="28">
        <v>104400.00000000001</v>
      </c>
    </row>
    <row r="1053" spans="1:15" x14ac:dyDescent="0.35">
      <c r="A1053">
        <v>734658</v>
      </c>
      <c r="B1053" t="s">
        <v>1233</v>
      </c>
      <c r="C1053" t="s">
        <v>391</v>
      </c>
      <c r="D1053" t="s">
        <v>438</v>
      </c>
      <c r="E1053" s="30" t="s">
        <v>14</v>
      </c>
      <c r="F1053" s="31">
        <v>0</v>
      </c>
      <c r="G1053" s="31">
        <v>0</v>
      </c>
      <c r="H1053" s="31">
        <v>0</v>
      </c>
      <c r="I1053" s="31">
        <v>65</v>
      </c>
      <c r="J1053" s="31">
        <f t="shared" si="62"/>
        <v>65</v>
      </c>
      <c r="K1053" s="28">
        <v>348000</v>
      </c>
      <c r="L1053" s="29">
        <v>0.81</v>
      </c>
      <c r="M1053" s="31">
        <f t="shared" si="63"/>
        <v>281880</v>
      </c>
      <c r="N1053" s="28">
        <f t="shared" si="61"/>
        <v>66119.999999999985</v>
      </c>
      <c r="O1053" s="28">
        <v>104400.00000000001</v>
      </c>
    </row>
    <row r="1054" spans="1:15" x14ac:dyDescent="0.35">
      <c r="A1054">
        <v>734659</v>
      </c>
      <c r="B1054" t="s">
        <v>1234</v>
      </c>
      <c r="C1054" t="s">
        <v>391</v>
      </c>
      <c r="D1054" t="s">
        <v>438</v>
      </c>
      <c r="E1054" s="30" t="s">
        <v>14</v>
      </c>
      <c r="F1054" s="31">
        <v>0</v>
      </c>
      <c r="G1054" s="31">
        <v>0</v>
      </c>
      <c r="H1054" s="31">
        <v>0</v>
      </c>
      <c r="I1054" s="31">
        <v>33</v>
      </c>
      <c r="J1054" s="31">
        <f t="shared" si="62"/>
        <v>33</v>
      </c>
      <c r="K1054" s="28">
        <v>348000</v>
      </c>
      <c r="L1054" s="29">
        <v>0.81</v>
      </c>
      <c r="M1054" s="31">
        <f t="shared" si="63"/>
        <v>281880</v>
      </c>
      <c r="N1054" s="28">
        <f t="shared" si="61"/>
        <v>66119.999999999985</v>
      </c>
      <c r="O1054" s="28">
        <v>104400.00000000001</v>
      </c>
    </row>
    <row r="1055" spans="1:15" x14ac:dyDescent="0.35">
      <c r="A1055">
        <v>734660</v>
      </c>
      <c r="B1055" t="s">
        <v>1235</v>
      </c>
      <c r="C1055" t="s">
        <v>391</v>
      </c>
      <c r="D1055" t="s">
        <v>438</v>
      </c>
      <c r="E1055" s="30" t="s">
        <v>14</v>
      </c>
      <c r="F1055" s="31">
        <v>0</v>
      </c>
      <c r="G1055" s="31">
        <v>0</v>
      </c>
      <c r="H1055" s="31">
        <v>0</v>
      </c>
      <c r="I1055" s="31">
        <v>28</v>
      </c>
      <c r="J1055" s="31">
        <f t="shared" si="62"/>
        <v>28</v>
      </c>
      <c r="K1055" s="28">
        <v>348000</v>
      </c>
      <c r="L1055" s="29">
        <v>0.81</v>
      </c>
      <c r="M1055" s="31">
        <f t="shared" si="63"/>
        <v>281880</v>
      </c>
      <c r="N1055" s="28">
        <f t="shared" si="61"/>
        <v>66119.999999999985</v>
      </c>
      <c r="O1055" s="28">
        <v>104400.00000000001</v>
      </c>
    </row>
    <row r="1056" spans="1:15" x14ac:dyDescent="0.35">
      <c r="A1056">
        <v>731714</v>
      </c>
      <c r="B1056" t="s">
        <v>2067</v>
      </c>
      <c r="C1056" t="s">
        <v>492</v>
      </c>
      <c r="D1056" t="s">
        <v>438</v>
      </c>
      <c r="E1056" s="30" t="s">
        <v>14</v>
      </c>
      <c r="F1056" s="31">
        <v>0</v>
      </c>
      <c r="G1056" s="31">
        <v>0</v>
      </c>
      <c r="H1056" s="31">
        <v>0</v>
      </c>
      <c r="I1056" s="31">
        <v>12</v>
      </c>
      <c r="J1056" s="31">
        <f t="shared" si="62"/>
        <v>12</v>
      </c>
      <c r="K1056" s="28">
        <v>1498000</v>
      </c>
      <c r="L1056" s="29">
        <v>0.45</v>
      </c>
      <c r="M1056" s="31">
        <f t="shared" si="63"/>
        <v>674100</v>
      </c>
      <c r="N1056" s="28">
        <f t="shared" si="61"/>
        <v>823900.00000000012</v>
      </c>
    </row>
    <row r="1057" spans="1:15" x14ac:dyDescent="0.35">
      <c r="A1057">
        <v>731715</v>
      </c>
      <c r="B1057" t="s">
        <v>2068</v>
      </c>
      <c r="C1057" t="s">
        <v>492</v>
      </c>
      <c r="D1057" t="s">
        <v>438</v>
      </c>
      <c r="E1057" s="30" t="s">
        <v>14</v>
      </c>
      <c r="F1057" s="31">
        <v>0</v>
      </c>
      <c r="G1057" s="31">
        <v>0</v>
      </c>
      <c r="H1057" s="31">
        <v>0</v>
      </c>
      <c r="I1057" s="31">
        <v>7</v>
      </c>
      <c r="J1057" s="31">
        <f t="shared" si="62"/>
        <v>7</v>
      </c>
      <c r="K1057" s="28">
        <v>1298000</v>
      </c>
      <c r="L1057" s="29">
        <v>0.45</v>
      </c>
      <c r="M1057" s="31">
        <f t="shared" si="63"/>
        <v>584100</v>
      </c>
      <c r="N1057" s="28">
        <f t="shared" si="61"/>
        <v>713900</v>
      </c>
    </row>
    <row r="1058" spans="1:15" x14ac:dyDescent="0.35">
      <c r="A1058">
        <v>718188</v>
      </c>
      <c r="B1058" t="s">
        <v>2069</v>
      </c>
      <c r="C1058" t="s">
        <v>494</v>
      </c>
      <c r="D1058" t="s">
        <v>438</v>
      </c>
      <c r="E1058" s="30" t="s">
        <v>14</v>
      </c>
      <c r="F1058" s="31">
        <v>0</v>
      </c>
      <c r="G1058" s="31">
        <v>0</v>
      </c>
      <c r="H1058" s="31">
        <v>0</v>
      </c>
      <c r="I1058" s="31">
        <v>1</v>
      </c>
      <c r="J1058" s="31">
        <f t="shared" si="62"/>
        <v>1</v>
      </c>
      <c r="K1058" s="28">
        <v>3698000</v>
      </c>
      <c r="L1058" s="29">
        <v>0.45</v>
      </c>
      <c r="M1058" s="31">
        <f t="shared" si="63"/>
        <v>1664100</v>
      </c>
      <c r="N1058" s="28">
        <f t="shared" si="61"/>
        <v>2033900.0000000002</v>
      </c>
    </row>
    <row r="1059" spans="1:15" x14ac:dyDescent="0.35">
      <c r="A1059">
        <v>731912</v>
      </c>
      <c r="B1059" t="s">
        <v>493</v>
      </c>
      <c r="C1059" t="s">
        <v>494</v>
      </c>
      <c r="D1059" t="s">
        <v>438</v>
      </c>
      <c r="E1059" s="30" t="s">
        <v>14</v>
      </c>
      <c r="F1059" s="31">
        <v>0</v>
      </c>
      <c r="G1059" s="31">
        <v>0</v>
      </c>
      <c r="H1059" s="31">
        <v>0</v>
      </c>
      <c r="I1059" s="31">
        <v>1</v>
      </c>
      <c r="J1059" s="31">
        <f t="shared" si="62"/>
        <v>1</v>
      </c>
      <c r="K1059" s="28">
        <v>1648000</v>
      </c>
      <c r="L1059" s="29">
        <v>0.45</v>
      </c>
      <c r="M1059" s="31">
        <f t="shared" si="63"/>
        <v>741600</v>
      </c>
      <c r="N1059" s="28">
        <f t="shared" si="61"/>
        <v>906400.00000000012</v>
      </c>
    </row>
    <row r="1060" spans="1:15" x14ac:dyDescent="0.35">
      <c r="A1060">
        <v>731913</v>
      </c>
      <c r="B1060" t="s">
        <v>495</v>
      </c>
      <c r="C1060" t="s">
        <v>494</v>
      </c>
      <c r="D1060" t="s">
        <v>438</v>
      </c>
      <c r="E1060" s="30" t="s">
        <v>14</v>
      </c>
      <c r="F1060" s="31">
        <v>0</v>
      </c>
      <c r="G1060" s="31">
        <v>0</v>
      </c>
      <c r="H1060" s="31">
        <v>0</v>
      </c>
      <c r="I1060" s="31">
        <v>2</v>
      </c>
      <c r="J1060" s="31">
        <f t="shared" si="62"/>
        <v>2</v>
      </c>
      <c r="K1060" s="28">
        <v>1648000</v>
      </c>
      <c r="L1060" s="29">
        <v>0.45</v>
      </c>
      <c r="M1060" s="31">
        <f t="shared" si="63"/>
        <v>741600</v>
      </c>
      <c r="N1060" s="28">
        <f t="shared" si="61"/>
        <v>906400.00000000012</v>
      </c>
    </row>
    <row r="1061" spans="1:15" x14ac:dyDescent="0.35">
      <c r="A1061">
        <v>733017</v>
      </c>
      <c r="B1061" t="s">
        <v>496</v>
      </c>
      <c r="C1061" t="s">
        <v>494</v>
      </c>
      <c r="D1061" t="s">
        <v>438</v>
      </c>
      <c r="E1061" s="30" t="s">
        <v>14</v>
      </c>
      <c r="F1061" s="31">
        <v>0</v>
      </c>
      <c r="G1061" s="31">
        <v>0</v>
      </c>
      <c r="H1061" s="31">
        <v>0</v>
      </c>
      <c r="I1061" s="31">
        <v>12</v>
      </c>
      <c r="J1061" s="31">
        <f t="shared" si="62"/>
        <v>12</v>
      </c>
      <c r="K1061" s="28">
        <v>1648000</v>
      </c>
      <c r="L1061" s="29">
        <v>0.45</v>
      </c>
      <c r="M1061" s="31">
        <f t="shared" si="63"/>
        <v>741600</v>
      </c>
      <c r="N1061" s="28">
        <f t="shared" si="61"/>
        <v>906400.00000000012</v>
      </c>
    </row>
    <row r="1062" spans="1:15" x14ac:dyDescent="0.35">
      <c r="A1062">
        <v>200239</v>
      </c>
      <c r="B1062" t="s">
        <v>1240</v>
      </c>
      <c r="C1062" t="s">
        <v>368</v>
      </c>
      <c r="D1062" t="s">
        <v>438</v>
      </c>
      <c r="E1062" s="30" t="s">
        <v>14</v>
      </c>
      <c r="F1062" s="31">
        <v>0</v>
      </c>
      <c r="G1062" s="31">
        <v>0</v>
      </c>
      <c r="H1062" s="31">
        <v>0</v>
      </c>
      <c r="I1062" s="31">
        <v>1</v>
      </c>
      <c r="J1062" s="31">
        <f t="shared" si="62"/>
        <v>1</v>
      </c>
      <c r="K1062" s="28">
        <v>20000</v>
      </c>
      <c r="L1062" s="29">
        <v>0.81</v>
      </c>
      <c r="M1062" s="31">
        <f t="shared" si="63"/>
        <v>16200.000000000002</v>
      </c>
      <c r="N1062" s="28">
        <f t="shared" si="61"/>
        <v>3799.9999999999991</v>
      </c>
      <c r="O1062" s="28">
        <v>10000</v>
      </c>
    </row>
    <row r="1063" spans="1:15" x14ac:dyDescent="0.35">
      <c r="A1063">
        <v>200258</v>
      </c>
      <c r="B1063" t="s">
        <v>1241</v>
      </c>
      <c r="C1063" t="s">
        <v>368</v>
      </c>
      <c r="D1063" t="s">
        <v>438</v>
      </c>
      <c r="E1063" s="30" t="s">
        <v>14</v>
      </c>
      <c r="F1063" s="31">
        <v>0</v>
      </c>
      <c r="G1063" s="31">
        <v>0</v>
      </c>
      <c r="H1063" s="31">
        <v>0</v>
      </c>
      <c r="I1063" s="31">
        <v>3</v>
      </c>
      <c r="J1063" s="31">
        <f t="shared" si="62"/>
        <v>3</v>
      </c>
      <c r="K1063" s="28">
        <v>94000</v>
      </c>
      <c r="L1063" s="29">
        <v>0.81</v>
      </c>
      <c r="M1063" s="31">
        <f t="shared" si="63"/>
        <v>76140</v>
      </c>
      <c r="N1063" s="28">
        <f t="shared" si="61"/>
        <v>17859.999999999996</v>
      </c>
      <c r="O1063" s="28">
        <v>47000</v>
      </c>
    </row>
    <row r="1064" spans="1:15" x14ac:dyDescent="0.35">
      <c r="A1064">
        <v>200833</v>
      </c>
      <c r="B1064" t="s">
        <v>497</v>
      </c>
      <c r="C1064" t="s">
        <v>368</v>
      </c>
      <c r="D1064" t="s">
        <v>438</v>
      </c>
      <c r="E1064" s="30" t="s">
        <v>14</v>
      </c>
      <c r="F1064" s="31">
        <v>0</v>
      </c>
      <c r="G1064" s="31">
        <v>0</v>
      </c>
      <c r="H1064" s="31">
        <v>0</v>
      </c>
      <c r="I1064" s="31">
        <v>30</v>
      </c>
      <c r="J1064" s="31">
        <f t="shared" si="62"/>
        <v>30</v>
      </c>
      <c r="K1064" s="28">
        <v>148000</v>
      </c>
      <c r="L1064" s="29">
        <v>0.81</v>
      </c>
      <c r="M1064" s="31">
        <f t="shared" si="63"/>
        <v>119880.00000000001</v>
      </c>
      <c r="N1064" s="28">
        <f t="shared" si="61"/>
        <v>28119.999999999993</v>
      </c>
      <c r="O1064" s="28">
        <v>75000</v>
      </c>
    </row>
    <row r="1065" spans="1:15" x14ac:dyDescent="0.35">
      <c r="A1065">
        <v>201181</v>
      </c>
      <c r="B1065" t="s">
        <v>1242</v>
      </c>
      <c r="C1065" t="s">
        <v>368</v>
      </c>
      <c r="D1065" t="s">
        <v>438</v>
      </c>
      <c r="E1065" s="30" t="s">
        <v>14</v>
      </c>
      <c r="F1065" s="31">
        <v>0</v>
      </c>
      <c r="G1065" s="31">
        <v>0</v>
      </c>
      <c r="H1065" s="31">
        <v>0</v>
      </c>
      <c r="I1065" s="31">
        <v>1</v>
      </c>
      <c r="J1065" s="31">
        <f t="shared" si="62"/>
        <v>1</v>
      </c>
      <c r="K1065" s="28">
        <v>39000</v>
      </c>
      <c r="L1065" s="29">
        <v>0.81</v>
      </c>
      <c r="M1065" s="31">
        <f t="shared" si="63"/>
        <v>31590.000000000004</v>
      </c>
      <c r="N1065" s="28">
        <f t="shared" si="61"/>
        <v>7409.9999999999982</v>
      </c>
      <c r="O1065" s="28">
        <v>19500</v>
      </c>
    </row>
    <row r="1066" spans="1:15" x14ac:dyDescent="0.35">
      <c r="A1066">
        <v>202120</v>
      </c>
      <c r="B1066" t="s">
        <v>1243</v>
      </c>
      <c r="C1066" t="s">
        <v>368</v>
      </c>
      <c r="D1066" t="s">
        <v>438</v>
      </c>
      <c r="E1066" s="30" t="s">
        <v>14</v>
      </c>
      <c r="F1066" s="31">
        <v>0</v>
      </c>
      <c r="G1066" s="31">
        <v>0</v>
      </c>
      <c r="H1066" s="31">
        <v>0</v>
      </c>
      <c r="I1066" s="31">
        <v>1</v>
      </c>
      <c r="J1066" s="31">
        <f t="shared" si="62"/>
        <v>1</v>
      </c>
      <c r="K1066" s="28">
        <v>1214000</v>
      </c>
      <c r="L1066" s="29">
        <v>0.81</v>
      </c>
      <c r="M1066" s="31">
        <f t="shared" si="63"/>
        <v>983340.00000000012</v>
      </c>
      <c r="N1066" s="28">
        <f t="shared" si="61"/>
        <v>230659.99999999994</v>
      </c>
      <c r="O1066" s="28">
        <v>607000</v>
      </c>
    </row>
    <row r="1067" spans="1:15" x14ac:dyDescent="0.35">
      <c r="A1067">
        <v>716265</v>
      </c>
      <c r="B1067" t="s">
        <v>1244</v>
      </c>
      <c r="C1067" t="s">
        <v>449</v>
      </c>
      <c r="D1067" t="s">
        <v>438</v>
      </c>
      <c r="E1067" s="30" t="s">
        <v>14</v>
      </c>
      <c r="F1067" s="31">
        <v>0</v>
      </c>
      <c r="G1067" s="31">
        <v>0</v>
      </c>
      <c r="H1067" s="31">
        <v>0</v>
      </c>
      <c r="I1067" s="31">
        <v>1</v>
      </c>
      <c r="J1067" s="31">
        <f t="shared" si="62"/>
        <v>1</v>
      </c>
      <c r="K1067" s="28">
        <v>978000</v>
      </c>
      <c r="L1067" s="29">
        <v>0.81</v>
      </c>
      <c r="M1067" s="31">
        <f t="shared" si="63"/>
        <v>792180</v>
      </c>
      <c r="N1067" s="28">
        <f t="shared" si="61"/>
        <v>185819.99999999994</v>
      </c>
      <c r="O1067" s="28">
        <v>293400.00000000006</v>
      </c>
    </row>
    <row r="1068" spans="1:15" x14ac:dyDescent="0.35">
      <c r="A1068">
        <v>735150</v>
      </c>
      <c r="B1068" t="s">
        <v>2070</v>
      </c>
      <c r="C1068" t="s">
        <v>449</v>
      </c>
      <c r="D1068" t="s">
        <v>438</v>
      </c>
      <c r="E1068" s="30" t="s">
        <v>14</v>
      </c>
      <c r="F1068" s="31">
        <v>0</v>
      </c>
      <c r="G1068" s="31">
        <v>0</v>
      </c>
      <c r="H1068" s="31">
        <v>0</v>
      </c>
      <c r="I1068" s="31">
        <v>14</v>
      </c>
      <c r="J1068" s="31">
        <f t="shared" si="62"/>
        <v>14</v>
      </c>
      <c r="K1068" s="28">
        <v>798000</v>
      </c>
      <c r="L1068" s="29">
        <v>0.17</v>
      </c>
      <c r="M1068" s="31">
        <f t="shared" si="63"/>
        <v>135660</v>
      </c>
      <c r="N1068" s="28">
        <f t="shared" si="61"/>
        <v>662340</v>
      </c>
    </row>
    <row r="1069" spans="1:15" x14ac:dyDescent="0.35">
      <c r="A1069">
        <v>738468</v>
      </c>
      <c r="B1069" t="s">
        <v>436</v>
      </c>
      <c r="C1069" t="s">
        <v>437</v>
      </c>
      <c r="D1069" t="s">
        <v>438</v>
      </c>
      <c r="E1069" s="30" t="s">
        <v>14</v>
      </c>
      <c r="F1069" s="31">
        <v>0</v>
      </c>
      <c r="G1069" s="31">
        <v>0</v>
      </c>
      <c r="H1069" s="31">
        <v>0</v>
      </c>
      <c r="I1069" s="31">
        <v>4</v>
      </c>
      <c r="J1069" s="31">
        <f t="shared" si="62"/>
        <v>4</v>
      </c>
      <c r="K1069" s="28">
        <v>1098000</v>
      </c>
      <c r="L1069" s="29">
        <v>0.81</v>
      </c>
      <c r="M1069" s="31">
        <f t="shared" si="63"/>
        <v>889380.00000000012</v>
      </c>
      <c r="N1069" s="28">
        <f t="shared" si="61"/>
        <v>208619.99999999994</v>
      </c>
      <c r="O1069" s="28">
        <v>878400</v>
      </c>
    </row>
    <row r="1070" spans="1:15" x14ac:dyDescent="0.35">
      <c r="A1070">
        <v>733256001</v>
      </c>
      <c r="B1070" t="s">
        <v>1281</v>
      </c>
      <c r="C1070" t="s">
        <v>1282</v>
      </c>
      <c r="D1070" t="s">
        <v>90</v>
      </c>
      <c r="E1070" s="30" t="s">
        <v>14</v>
      </c>
      <c r="F1070" s="31">
        <v>0</v>
      </c>
      <c r="G1070" s="31">
        <v>0</v>
      </c>
      <c r="H1070" s="31">
        <v>0</v>
      </c>
      <c r="I1070" s="31">
        <v>2</v>
      </c>
      <c r="J1070" s="31">
        <f t="shared" si="62"/>
        <v>2</v>
      </c>
      <c r="K1070" s="28">
        <v>278000</v>
      </c>
      <c r="L1070" s="29">
        <v>0.81</v>
      </c>
      <c r="M1070" s="31">
        <f t="shared" si="63"/>
        <v>225180.00000000003</v>
      </c>
      <c r="N1070" s="28">
        <f t="shared" si="61"/>
        <v>52819.999999999985</v>
      </c>
      <c r="O1070" s="28">
        <v>139000</v>
      </c>
    </row>
    <row r="1071" spans="1:15" x14ac:dyDescent="0.35">
      <c r="A1071">
        <v>733256002</v>
      </c>
      <c r="B1071" t="s">
        <v>1283</v>
      </c>
      <c r="C1071" t="s">
        <v>1282</v>
      </c>
      <c r="D1071" t="s">
        <v>90</v>
      </c>
      <c r="E1071" s="30" t="s">
        <v>14</v>
      </c>
      <c r="F1071" s="31">
        <v>0</v>
      </c>
      <c r="G1071" s="31">
        <v>0</v>
      </c>
      <c r="H1071" s="31">
        <v>0</v>
      </c>
      <c r="I1071" s="31">
        <v>1</v>
      </c>
      <c r="J1071" s="31">
        <f t="shared" si="62"/>
        <v>1</v>
      </c>
      <c r="K1071" s="28">
        <v>278000</v>
      </c>
      <c r="L1071" s="29">
        <v>0.81</v>
      </c>
      <c r="M1071" s="31">
        <f t="shared" si="63"/>
        <v>225180.00000000003</v>
      </c>
      <c r="N1071" s="28">
        <f t="shared" si="61"/>
        <v>52819.999999999985</v>
      </c>
      <c r="O1071" s="28">
        <v>139000</v>
      </c>
    </row>
    <row r="1072" spans="1:15" x14ac:dyDescent="0.35">
      <c r="A1072">
        <v>733256003</v>
      </c>
      <c r="B1072" t="s">
        <v>1284</v>
      </c>
      <c r="C1072" t="s">
        <v>1282</v>
      </c>
      <c r="D1072" t="s">
        <v>90</v>
      </c>
      <c r="E1072" s="30" t="s">
        <v>14</v>
      </c>
      <c r="F1072" s="31">
        <v>0</v>
      </c>
      <c r="G1072" s="31">
        <v>0</v>
      </c>
      <c r="H1072" s="31">
        <v>0</v>
      </c>
      <c r="I1072" s="31">
        <v>2</v>
      </c>
      <c r="J1072" s="31">
        <f t="shared" si="62"/>
        <v>2</v>
      </c>
      <c r="K1072" s="28">
        <v>278000</v>
      </c>
      <c r="L1072" s="29">
        <v>0.81</v>
      </c>
      <c r="M1072" s="31">
        <f t="shared" si="63"/>
        <v>225180.00000000003</v>
      </c>
      <c r="N1072" s="28">
        <f t="shared" si="61"/>
        <v>52819.999999999985</v>
      </c>
      <c r="O1072" s="28">
        <v>139000</v>
      </c>
    </row>
    <row r="1073" spans="1:15" x14ac:dyDescent="0.35">
      <c r="A1073">
        <v>733257001</v>
      </c>
      <c r="B1073" t="s">
        <v>1285</v>
      </c>
      <c r="C1073" t="s">
        <v>1282</v>
      </c>
      <c r="D1073" t="s">
        <v>90</v>
      </c>
      <c r="E1073" s="30" t="s">
        <v>14</v>
      </c>
      <c r="F1073" s="31">
        <v>0</v>
      </c>
      <c r="G1073" s="31">
        <v>0</v>
      </c>
      <c r="H1073" s="31">
        <v>0</v>
      </c>
      <c r="I1073" s="31">
        <v>8</v>
      </c>
      <c r="J1073" s="31">
        <f t="shared" si="62"/>
        <v>8</v>
      </c>
      <c r="K1073" s="28">
        <v>298000</v>
      </c>
      <c r="L1073" s="29">
        <v>0.81</v>
      </c>
      <c r="M1073" s="31">
        <f t="shared" si="63"/>
        <v>241380.00000000003</v>
      </c>
      <c r="N1073" s="28">
        <f t="shared" si="61"/>
        <v>56619.999999999985</v>
      </c>
      <c r="O1073" s="28">
        <v>149000</v>
      </c>
    </row>
    <row r="1074" spans="1:15" x14ac:dyDescent="0.35">
      <c r="A1074">
        <v>733257002</v>
      </c>
      <c r="B1074" t="s">
        <v>1286</v>
      </c>
      <c r="C1074" t="s">
        <v>1282</v>
      </c>
      <c r="D1074" t="s">
        <v>90</v>
      </c>
      <c r="E1074" s="30" t="s">
        <v>14</v>
      </c>
      <c r="F1074" s="31">
        <v>0</v>
      </c>
      <c r="G1074" s="31">
        <v>0</v>
      </c>
      <c r="H1074" s="31">
        <v>0</v>
      </c>
      <c r="I1074" s="31">
        <v>4</v>
      </c>
      <c r="J1074" s="31">
        <f t="shared" si="62"/>
        <v>4</v>
      </c>
      <c r="K1074" s="28">
        <v>298000</v>
      </c>
      <c r="L1074" s="29">
        <v>0.81</v>
      </c>
      <c r="M1074" s="31">
        <f t="shared" si="63"/>
        <v>241380.00000000003</v>
      </c>
      <c r="N1074" s="28">
        <f t="shared" si="61"/>
        <v>56619.999999999985</v>
      </c>
      <c r="O1074" s="28">
        <v>149000</v>
      </c>
    </row>
    <row r="1075" spans="1:15" x14ac:dyDescent="0.35">
      <c r="A1075">
        <v>733258004</v>
      </c>
      <c r="B1075" t="s">
        <v>1287</v>
      </c>
      <c r="C1075" t="s">
        <v>1282</v>
      </c>
      <c r="D1075" t="s">
        <v>90</v>
      </c>
      <c r="E1075" s="30" t="s">
        <v>14</v>
      </c>
      <c r="F1075" s="31">
        <v>0</v>
      </c>
      <c r="G1075" s="31">
        <v>0</v>
      </c>
      <c r="H1075" s="31">
        <v>0</v>
      </c>
      <c r="I1075" s="31">
        <v>3</v>
      </c>
      <c r="J1075" s="31">
        <f t="shared" si="62"/>
        <v>3</v>
      </c>
      <c r="K1075" s="28">
        <v>328000</v>
      </c>
      <c r="L1075" s="29">
        <v>0.81</v>
      </c>
      <c r="M1075" s="31">
        <f t="shared" si="63"/>
        <v>265680</v>
      </c>
      <c r="N1075" s="28">
        <f t="shared" si="61"/>
        <v>62319.999999999985</v>
      </c>
      <c r="O1075" s="28">
        <v>164000</v>
      </c>
    </row>
    <row r="1076" spans="1:15" x14ac:dyDescent="0.35">
      <c r="A1076">
        <v>733259001</v>
      </c>
      <c r="B1076" t="s">
        <v>1288</v>
      </c>
      <c r="C1076" t="s">
        <v>1282</v>
      </c>
      <c r="D1076" t="s">
        <v>90</v>
      </c>
      <c r="E1076" s="30" t="s">
        <v>14</v>
      </c>
      <c r="F1076" s="31">
        <v>0</v>
      </c>
      <c r="G1076" s="31">
        <v>0</v>
      </c>
      <c r="H1076" s="31">
        <v>0</v>
      </c>
      <c r="I1076" s="31">
        <v>8</v>
      </c>
      <c r="J1076" s="31">
        <f t="shared" si="62"/>
        <v>8</v>
      </c>
      <c r="K1076" s="28">
        <v>298000</v>
      </c>
      <c r="L1076" s="29">
        <v>0.81</v>
      </c>
      <c r="M1076" s="31">
        <f t="shared" si="63"/>
        <v>241380.00000000003</v>
      </c>
      <c r="N1076" s="28">
        <f t="shared" si="61"/>
        <v>56619.999999999985</v>
      </c>
      <c r="O1076" s="28">
        <v>149000</v>
      </c>
    </row>
    <row r="1077" spans="1:15" x14ac:dyDescent="0.35">
      <c r="A1077">
        <v>733259002</v>
      </c>
      <c r="B1077" t="s">
        <v>1289</v>
      </c>
      <c r="C1077" t="s">
        <v>1282</v>
      </c>
      <c r="D1077" t="s">
        <v>90</v>
      </c>
      <c r="E1077" s="30" t="s">
        <v>14</v>
      </c>
      <c r="F1077" s="31">
        <v>0</v>
      </c>
      <c r="G1077" s="31">
        <v>0</v>
      </c>
      <c r="H1077" s="31">
        <v>0</v>
      </c>
      <c r="I1077" s="31">
        <v>11</v>
      </c>
      <c r="J1077" s="31">
        <f t="shared" si="62"/>
        <v>11</v>
      </c>
      <c r="K1077" s="28">
        <v>298000</v>
      </c>
      <c r="L1077" s="29">
        <v>0.81</v>
      </c>
      <c r="M1077" s="31">
        <f t="shared" si="63"/>
        <v>241380.00000000003</v>
      </c>
      <c r="N1077" s="28">
        <f t="shared" si="61"/>
        <v>56619.999999999985</v>
      </c>
      <c r="O1077" s="28">
        <v>149000</v>
      </c>
    </row>
    <row r="1078" spans="1:15" x14ac:dyDescent="0.35">
      <c r="A1078">
        <v>733260001</v>
      </c>
      <c r="B1078" t="s">
        <v>1290</v>
      </c>
      <c r="C1078" t="s">
        <v>1282</v>
      </c>
      <c r="D1078" t="s">
        <v>90</v>
      </c>
      <c r="E1078" s="30" t="s">
        <v>14</v>
      </c>
      <c r="F1078" s="31">
        <v>0</v>
      </c>
      <c r="G1078" s="31">
        <v>0</v>
      </c>
      <c r="H1078" s="31">
        <v>0</v>
      </c>
      <c r="I1078" s="31">
        <v>5</v>
      </c>
      <c r="J1078" s="31">
        <f t="shared" si="62"/>
        <v>5</v>
      </c>
      <c r="K1078" s="28">
        <v>398000</v>
      </c>
      <c r="L1078" s="29">
        <v>0.81</v>
      </c>
      <c r="M1078" s="31">
        <f t="shared" si="63"/>
        <v>322380</v>
      </c>
      <c r="N1078" s="28">
        <f t="shared" si="61"/>
        <v>75619.999999999985</v>
      </c>
      <c r="O1078" s="28">
        <v>199000</v>
      </c>
    </row>
    <row r="1079" spans="1:15" x14ac:dyDescent="0.35">
      <c r="A1079">
        <v>733260002</v>
      </c>
      <c r="B1079" t="s">
        <v>1291</v>
      </c>
      <c r="C1079" t="s">
        <v>1282</v>
      </c>
      <c r="D1079" t="s">
        <v>90</v>
      </c>
      <c r="E1079" s="30" t="s">
        <v>14</v>
      </c>
      <c r="F1079" s="31">
        <v>0</v>
      </c>
      <c r="G1079" s="31">
        <v>0</v>
      </c>
      <c r="H1079" s="31">
        <v>0</v>
      </c>
      <c r="I1079" s="31">
        <v>3</v>
      </c>
      <c r="J1079" s="31">
        <f t="shared" si="62"/>
        <v>3</v>
      </c>
      <c r="K1079" s="28">
        <v>398000</v>
      </c>
      <c r="L1079" s="29">
        <v>0.81</v>
      </c>
      <c r="M1079" s="31">
        <f t="shared" si="63"/>
        <v>322380</v>
      </c>
      <c r="N1079" s="28">
        <f t="shared" si="61"/>
        <v>75619.999999999985</v>
      </c>
      <c r="O1079" s="28">
        <v>199000</v>
      </c>
    </row>
    <row r="1080" spans="1:15" x14ac:dyDescent="0.35">
      <c r="A1080">
        <v>737166001</v>
      </c>
      <c r="B1080" t="s">
        <v>1292</v>
      </c>
      <c r="C1080" t="s">
        <v>92</v>
      </c>
      <c r="D1080" t="s">
        <v>90</v>
      </c>
      <c r="E1080" s="30" t="s">
        <v>14</v>
      </c>
      <c r="F1080" s="31">
        <v>0</v>
      </c>
      <c r="G1080" s="31">
        <v>0</v>
      </c>
      <c r="H1080" s="31">
        <v>0</v>
      </c>
      <c r="I1080" s="31">
        <v>18</v>
      </c>
      <c r="J1080" s="31">
        <f t="shared" si="62"/>
        <v>18</v>
      </c>
      <c r="K1080" s="28">
        <v>698000</v>
      </c>
      <c r="L1080" s="29">
        <v>0.45</v>
      </c>
      <c r="M1080" s="31">
        <f t="shared" si="63"/>
        <v>314100</v>
      </c>
      <c r="N1080" s="28">
        <f t="shared" si="61"/>
        <v>383900.00000000006</v>
      </c>
      <c r="O1080" s="28">
        <v>558400</v>
      </c>
    </row>
    <row r="1081" spans="1:15" x14ac:dyDescent="0.35">
      <c r="A1081">
        <v>737166002</v>
      </c>
      <c r="B1081" t="s">
        <v>1293</v>
      </c>
      <c r="C1081" t="s">
        <v>92</v>
      </c>
      <c r="D1081" t="s">
        <v>90</v>
      </c>
      <c r="E1081" s="30" t="s">
        <v>14</v>
      </c>
      <c r="F1081" s="31">
        <v>0</v>
      </c>
      <c r="G1081" s="31">
        <v>0</v>
      </c>
      <c r="H1081" s="31">
        <v>0</v>
      </c>
      <c r="I1081" s="31">
        <v>17</v>
      </c>
      <c r="J1081" s="31">
        <f t="shared" si="62"/>
        <v>17</v>
      </c>
      <c r="K1081" s="28">
        <v>698000</v>
      </c>
      <c r="L1081" s="29">
        <v>0.45</v>
      </c>
      <c r="M1081" s="31">
        <f t="shared" si="63"/>
        <v>314100</v>
      </c>
      <c r="N1081" s="28">
        <f t="shared" si="61"/>
        <v>383900.00000000006</v>
      </c>
      <c r="O1081" s="28">
        <v>558400</v>
      </c>
    </row>
    <row r="1082" spans="1:15" x14ac:dyDescent="0.35">
      <c r="A1082">
        <v>734115001</v>
      </c>
      <c r="B1082" t="s">
        <v>2071</v>
      </c>
      <c r="C1082" t="s">
        <v>89</v>
      </c>
      <c r="D1082" t="s">
        <v>90</v>
      </c>
      <c r="E1082" s="30" t="s">
        <v>14</v>
      </c>
      <c r="F1082" s="31">
        <v>0</v>
      </c>
      <c r="G1082" s="31">
        <v>0</v>
      </c>
      <c r="H1082" s="31">
        <v>0</v>
      </c>
      <c r="I1082" s="31">
        <v>8</v>
      </c>
      <c r="J1082" s="31">
        <f t="shared" si="62"/>
        <v>8</v>
      </c>
      <c r="K1082" s="28">
        <v>158000</v>
      </c>
      <c r="L1082" s="29">
        <v>0.81</v>
      </c>
      <c r="M1082" s="31">
        <f t="shared" si="63"/>
        <v>127980.00000000001</v>
      </c>
      <c r="N1082" s="28">
        <f t="shared" si="61"/>
        <v>30019.999999999993</v>
      </c>
    </row>
    <row r="1083" spans="1:15" x14ac:dyDescent="0.35">
      <c r="A1083">
        <v>734115002</v>
      </c>
      <c r="B1083" t="s">
        <v>2072</v>
      </c>
      <c r="C1083" t="s">
        <v>89</v>
      </c>
      <c r="D1083" t="s">
        <v>90</v>
      </c>
      <c r="E1083" s="30" t="s">
        <v>14</v>
      </c>
      <c r="F1083" s="31">
        <v>0</v>
      </c>
      <c r="G1083" s="31">
        <v>0</v>
      </c>
      <c r="H1083" s="31">
        <v>0</v>
      </c>
      <c r="I1083" s="31">
        <v>1</v>
      </c>
      <c r="J1083" s="31">
        <f t="shared" si="62"/>
        <v>1</v>
      </c>
      <c r="K1083" s="28">
        <v>158000</v>
      </c>
      <c r="L1083" s="29">
        <v>0.81</v>
      </c>
      <c r="M1083" s="31">
        <f t="shared" si="63"/>
        <v>127980.00000000001</v>
      </c>
      <c r="N1083" s="28">
        <f t="shared" si="61"/>
        <v>30019.999999999993</v>
      </c>
    </row>
    <row r="1084" spans="1:15" x14ac:dyDescent="0.35">
      <c r="A1084">
        <v>734115003</v>
      </c>
      <c r="B1084" t="s">
        <v>2073</v>
      </c>
      <c r="C1084" t="s">
        <v>89</v>
      </c>
      <c r="D1084" t="s">
        <v>90</v>
      </c>
      <c r="E1084" s="30" t="s">
        <v>14</v>
      </c>
      <c r="F1084" s="31">
        <v>0</v>
      </c>
      <c r="G1084" s="31">
        <v>0</v>
      </c>
      <c r="H1084" s="31">
        <v>0</v>
      </c>
      <c r="I1084" s="31">
        <v>1</v>
      </c>
      <c r="J1084" s="31">
        <f t="shared" si="62"/>
        <v>1</v>
      </c>
      <c r="K1084" s="28">
        <v>158000</v>
      </c>
      <c r="L1084" s="29">
        <v>0.81</v>
      </c>
      <c r="M1084" s="31">
        <f t="shared" si="63"/>
        <v>127980.00000000001</v>
      </c>
      <c r="N1084" s="28">
        <f t="shared" si="61"/>
        <v>30019.999999999993</v>
      </c>
    </row>
    <row r="1085" spans="1:15" x14ac:dyDescent="0.35">
      <c r="A1085">
        <v>734115004</v>
      </c>
      <c r="B1085" t="s">
        <v>2074</v>
      </c>
      <c r="C1085" t="s">
        <v>89</v>
      </c>
      <c r="D1085" t="s">
        <v>90</v>
      </c>
      <c r="E1085" s="30" t="s">
        <v>14</v>
      </c>
      <c r="F1085" s="31">
        <v>0</v>
      </c>
      <c r="G1085" s="31">
        <v>0</v>
      </c>
      <c r="H1085" s="31">
        <v>0</v>
      </c>
      <c r="I1085" s="31">
        <v>3</v>
      </c>
      <c r="J1085" s="31">
        <f t="shared" si="62"/>
        <v>3</v>
      </c>
      <c r="K1085" s="28">
        <v>158000</v>
      </c>
      <c r="L1085" s="29">
        <v>0.81</v>
      </c>
      <c r="M1085" s="31">
        <f t="shared" si="63"/>
        <v>127980.00000000001</v>
      </c>
      <c r="N1085" s="28">
        <f t="shared" si="61"/>
        <v>30019.999999999993</v>
      </c>
    </row>
    <row r="1086" spans="1:15" x14ac:dyDescent="0.35">
      <c r="A1086">
        <v>734115005</v>
      </c>
      <c r="B1086" t="s">
        <v>2075</v>
      </c>
      <c r="C1086" t="s">
        <v>89</v>
      </c>
      <c r="D1086" t="s">
        <v>90</v>
      </c>
      <c r="E1086" s="30" t="s">
        <v>14</v>
      </c>
      <c r="F1086" s="31">
        <v>0</v>
      </c>
      <c r="G1086" s="31">
        <v>0</v>
      </c>
      <c r="H1086" s="31">
        <v>4</v>
      </c>
      <c r="I1086" s="31">
        <v>4</v>
      </c>
      <c r="J1086" s="31">
        <f t="shared" si="62"/>
        <v>8</v>
      </c>
      <c r="K1086" s="28">
        <v>158000</v>
      </c>
      <c r="L1086" s="29">
        <v>0.81</v>
      </c>
      <c r="M1086" s="31">
        <f t="shared" si="63"/>
        <v>127980.00000000001</v>
      </c>
      <c r="N1086" s="28">
        <f t="shared" si="61"/>
        <v>30019.999999999993</v>
      </c>
    </row>
    <row r="1087" spans="1:15" x14ac:dyDescent="0.35">
      <c r="A1087">
        <v>734290</v>
      </c>
      <c r="B1087" t="s">
        <v>1294</v>
      </c>
      <c r="C1087" t="s">
        <v>488</v>
      </c>
      <c r="D1087" t="s">
        <v>111</v>
      </c>
      <c r="E1087" s="30" t="s">
        <v>14</v>
      </c>
      <c r="F1087" s="31">
        <v>0</v>
      </c>
      <c r="G1087" s="31">
        <v>0</v>
      </c>
      <c r="H1087" s="31">
        <v>0</v>
      </c>
      <c r="I1087" s="31">
        <v>135</v>
      </c>
      <c r="J1087" s="31">
        <f t="shared" si="62"/>
        <v>135</v>
      </c>
      <c r="K1087" s="28">
        <v>99000</v>
      </c>
      <c r="L1087" s="29">
        <v>0.81</v>
      </c>
      <c r="M1087" s="31">
        <f t="shared" si="63"/>
        <v>80190</v>
      </c>
      <c r="N1087" s="28">
        <f t="shared" si="61"/>
        <v>18809.999999999996</v>
      </c>
      <c r="O1087" s="28">
        <v>79200</v>
      </c>
    </row>
    <row r="1088" spans="1:15" x14ac:dyDescent="0.35">
      <c r="A1088">
        <v>735008</v>
      </c>
      <c r="B1088" t="s">
        <v>1295</v>
      </c>
      <c r="C1088" t="s">
        <v>488</v>
      </c>
      <c r="D1088" t="s">
        <v>111</v>
      </c>
      <c r="E1088" s="30" t="s">
        <v>14</v>
      </c>
      <c r="F1088" s="31">
        <v>0</v>
      </c>
      <c r="G1088" s="31">
        <v>208</v>
      </c>
      <c r="H1088" s="31">
        <v>14</v>
      </c>
      <c r="I1088" s="31">
        <v>140</v>
      </c>
      <c r="J1088" s="31">
        <f t="shared" si="62"/>
        <v>362</v>
      </c>
      <c r="K1088" s="28">
        <v>99000</v>
      </c>
      <c r="L1088" s="29">
        <v>0.81</v>
      </c>
      <c r="M1088" s="31">
        <f t="shared" si="63"/>
        <v>80190</v>
      </c>
      <c r="N1088" s="28">
        <f t="shared" si="61"/>
        <v>18809.999999999996</v>
      </c>
      <c r="O1088" s="28">
        <v>79200</v>
      </c>
    </row>
    <row r="1089" spans="1:15" x14ac:dyDescent="0.35">
      <c r="A1089">
        <v>735778</v>
      </c>
      <c r="B1089" t="s">
        <v>1296</v>
      </c>
      <c r="C1089" t="s">
        <v>488</v>
      </c>
      <c r="D1089" t="s">
        <v>111</v>
      </c>
      <c r="E1089" s="30" t="s">
        <v>14</v>
      </c>
      <c r="F1089" s="31">
        <v>0</v>
      </c>
      <c r="G1089" s="31">
        <v>0</v>
      </c>
      <c r="H1089" s="31">
        <v>0</v>
      </c>
      <c r="I1089" s="31">
        <v>25</v>
      </c>
      <c r="J1089" s="31">
        <f t="shared" si="62"/>
        <v>25</v>
      </c>
      <c r="K1089" s="28">
        <v>99000</v>
      </c>
      <c r="L1089" s="29">
        <v>0.81</v>
      </c>
      <c r="M1089" s="31">
        <f t="shared" si="63"/>
        <v>80190</v>
      </c>
      <c r="N1089" s="28">
        <f t="shared" si="61"/>
        <v>18809.999999999996</v>
      </c>
      <c r="O1089" s="28">
        <v>79200</v>
      </c>
    </row>
    <row r="1090" spans="1:15" x14ac:dyDescent="0.35">
      <c r="A1090">
        <v>733262001</v>
      </c>
      <c r="B1090" t="s">
        <v>1297</v>
      </c>
      <c r="C1090" t="s">
        <v>1282</v>
      </c>
      <c r="D1090" t="s">
        <v>53</v>
      </c>
      <c r="E1090" s="30" t="s">
        <v>14</v>
      </c>
      <c r="F1090" s="31">
        <v>0</v>
      </c>
      <c r="G1090" s="31">
        <v>0</v>
      </c>
      <c r="H1090" s="31">
        <v>0</v>
      </c>
      <c r="I1090" s="31">
        <v>2</v>
      </c>
      <c r="J1090" s="31">
        <f t="shared" si="62"/>
        <v>2</v>
      </c>
      <c r="K1090" s="28">
        <v>278000</v>
      </c>
      <c r="L1090" s="29">
        <v>0.81</v>
      </c>
      <c r="M1090" s="31">
        <f t="shared" si="63"/>
        <v>225180.00000000003</v>
      </c>
      <c r="N1090" s="28">
        <f t="shared" si="61"/>
        <v>52819.999999999985</v>
      </c>
      <c r="O1090" s="28">
        <v>139000</v>
      </c>
    </row>
    <row r="1091" spans="1:15" x14ac:dyDescent="0.35">
      <c r="A1091">
        <v>733262003</v>
      </c>
      <c r="B1091" t="s">
        <v>1299</v>
      </c>
      <c r="C1091" t="s">
        <v>1282</v>
      </c>
      <c r="D1091" t="s">
        <v>53</v>
      </c>
      <c r="E1091" s="30" t="s">
        <v>14</v>
      </c>
      <c r="F1091" s="31">
        <v>0</v>
      </c>
      <c r="G1091" s="31">
        <v>0</v>
      </c>
      <c r="H1091" s="31">
        <v>0</v>
      </c>
      <c r="I1091" s="31">
        <v>1</v>
      </c>
      <c r="J1091" s="31">
        <f t="shared" si="62"/>
        <v>1</v>
      </c>
      <c r="K1091" s="28">
        <v>278000</v>
      </c>
      <c r="L1091" s="29">
        <v>0.81</v>
      </c>
      <c r="M1091" s="31">
        <f t="shared" si="63"/>
        <v>225180.00000000003</v>
      </c>
      <c r="N1091" s="28">
        <f t="shared" ref="N1091:N1092" si="64">K1091*(1-L1091)</f>
        <v>52819.999999999985</v>
      </c>
      <c r="O1091" s="28">
        <v>139000</v>
      </c>
    </row>
    <row r="1092" spans="1:15" x14ac:dyDescent="0.35">
      <c r="A1092">
        <v>733263002</v>
      </c>
      <c r="B1092" t="s">
        <v>1301</v>
      </c>
      <c r="C1092" t="s">
        <v>1282</v>
      </c>
      <c r="D1092" t="s">
        <v>53</v>
      </c>
      <c r="E1092" s="30" t="s">
        <v>14</v>
      </c>
      <c r="F1092" s="31">
        <v>0</v>
      </c>
      <c r="G1092" s="31">
        <v>0</v>
      </c>
      <c r="H1092" s="31">
        <v>0</v>
      </c>
      <c r="I1092" s="31">
        <v>1</v>
      </c>
      <c r="J1092" s="31">
        <f t="shared" ref="J1092:J1155" si="65">SUM(F1092:I1092)</f>
        <v>1</v>
      </c>
      <c r="K1092" s="28">
        <v>298000</v>
      </c>
      <c r="L1092" s="29">
        <v>0.81</v>
      </c>
      <c r="M1092" s="31">
        <f t="shared" ref="M1092:M1155" si="66">K1092*L1092</f>
        <v>241380.00000000003</v>
      </c>
      <c r="N1092" s="28">
        <f t="shared" si="64"/>
        <v>56619.999999999985</v>
      </c>
      <c r="O1092" s="28">
        <v>149000</v>
      </c>
    </row>
    <row r="1093" spans="1:15" x14ac:dyDescent="0.35">
      <c r="A1093">
        <v>741164001</v>
      </c>
      <c r="B1093" t="s">
        <v>52</v>
      </c>
      <c r="C1093" t="s">
        <v>28</v>
      </c>
      <c r="D1093" t="s">
        <v>53</v>
      </c>
      <c r="E1093" s="30">
        <v>0</v>
      </c>
      <c r="F1093" s="31">
        <v>0</v>
      </c>
      <c r="G1093" s="31">
        <v>0</v>
      </c>
      <c r="H1093" s="31">
        <v>0</v>
      </c>
      <c r="I1093" s="31">
        <v>6</v>
      </c>
      <c r="J1093" s="31">
        <f t="shared" si="65"/>
        <v>6</v>
      </c>
      <c r="K1093" s="28">
        <v>398000</v>
      </c>
      <c r="L1093" s="29">
        <v>0.17</v>
      </c>
      <c r="M1093" s="31">
        <f t="shared" si="66"/>
        <v>67660</v>
      </c>
      <c r="N1093" s="28">
        <f t="shared" ref="N1091:N1154" si="67">K1093*(1-L1093)</f>
        <v>330340</v>
      </c>
    </row>
    <row r="1094" spans="1:15" x14ac:dyDescent="0.35">
      <c r="A1094">
        <v>741164003</v>
      </c>
      <c r="B1094" t="s">
        <v>54</v>
      </c>
      <c r="C1094" t="s">
        <v>28</v>
      </c>
      <c r="D1094" t="s">
        <v>53</v>
      </c>
      <c r="E1094" s="30">
        <v>0</v>
      </c>
      <c r="F1094" s="31">
        <v>0</v>
      </c>
      <c r="G1094" s="31">
        <v>0</v>
      </c>
      <c r="H1094" s="31">
        <v>0</v>
      </c>
      <c r="I1094" s="31">
        <v>2</v>
      </c>
      <c r="J1094" s="31">
        <f t="shared" si="65"/>
        <v>2</v>
      </c>
      <c r="K1094" s="28">
        <v>398000</v>
      </c>
      <c r="L1094" s="29">
        <v>0.17</v>
      </c>
      <c r="M1094" s="31">
        <f t="shared" si="66"/>
        <v>67660</v>
      </c>
      <c r="N1094" s="28">
        <f t="shared" si="67"/>
        <v>330340</v>
      </c>
    </row>
    <row r="1095" spans="1:15" x14ac:dyDescent="0.35">
      <c r="A1095">
        <v>741164005</v>
      </c>
      <c r="B1095" t="s">
        <v>55</v>
      </c>
      <c r="C1095" t="s">
        <v>28</v>
      </c>
      <c r="D1095" t="s">
        <v>53</v>
      </c>
      <c r="E1095" s="30">
        <v>0</v>
      </c>
      <c r="F1095" s="31">
        <v>0</v>
      </c>
      <c r="G1095" s="31">
        <v>0</v>
      </c>
      <c r="H1095" s="31">
        <v>0</v>
      </c>
      <c r="I1095" s="31">
        <v>2</v>
      </c>
      <c r="J1095" s="31">
        <f t="shared" si="65"/>
        <v>2</v>
      </c>
      <c r="K1095" s="28">
        <v>398000</v>
      </c>
      <c r="L1095" s="29">
        <v>0.17</v>
      </c>
      <c r="M1095" s="31">
        <f t="shared" si="66"/>
        <v>67660</v>
      </c>
      <c r="N1095" s="28">
        <f t="shared" si="67"/>
        <v>330340</v>
      </c>
    </row>
    <row r="1096" spans="1:15" x14ac:dyDescent="0.35">
      <c r="A1096">
        <v>741164006</v>
      </c>
      <c r="B1096" t="s">
        <v>56</v>
      </c>
      <c r="C1096" t="s">
        <v>28</v>
      </c>
      <c r="D1096" t="s">
        <v>53</v>
      </c>
      <c r="E1096" s="30">
        <v>0</v>
      </c>
      <c r="F1096" s="31">
        <v>0</v>
      </c>
      <c r="G1096" s="31">
        <v>0</v>
      </c>
      <c r="H1096" s="31">
        <v>0</v>
      </c>
      <c r="I1096" s="31">
        <v>3</v>
      </c>
      <c r="J1096" s="31">
        <f t="shared" si="65"/>
        <v>3</v>
      </c>
      <c r="K1096" s="28">
        <v>398000</v>
      </c>
      <c r="L1096" s="29">
        <v>0.17</v>
      </c>
      <c r="M1096" s="31">
        <f t="shared" si="66"/>
        <v>67660</v>
      </c>
      <c r="N1096" s="28">
        <f t="shared" si="67"/>
        <v>330340</v>
      </c>
    </row>
    <row r="1097" spans="1:15" x14ac:dyDescent="0.35">
      <c r="A1097">
        <v>741164007</v>
      </c>
      <c r="B1097" t="s">
        <v>57</v>
      </c>
      <c r="C1097" t="s">
        <v>28</v>
      </c>
      <c r="D1097" t="s">
        <v>53</v>
      </c>
      <c r="E1097" s="30">
        <v>0</v>
      </c>
      <c r="F1097" s="31">
        <v>0</v>
      </c>
      <c r="G1097" s="31">
        <v>0</v>
      </c>
      <c r="H1097" s="31">
        <v>0</v>
      </c>
      <c r="I1097" s="31">
        <v>1</v>
      </c>
      <c r="J1097" s="31">
        <f t="shared" si="65"/>
        <v>1</v>
      </c>
      <c r="K1097" s="28">
        <v>398000</v>
      </c>
      <c r="L1097" s="29">
        <v>0.17</v>
      </c>
      <c r="M1097" s="31">
        <f t="shared" si="66"/>
        <v>67660</v>
      </c>
      <c r="N1097" s="28">
        <f t="shared" si="67"/>
        <v>330340</v>
      </c>
    </row>
    <row r="1098" spans="1:15" x14ac:dyDescent="0.35">
      <c r="A1098">
        <v>741164008</v>
      </c>
      <c r="B1098" t="s">
        <v>58</v>
      </c>
      <c r="C1098" t="s">
        <v>28</v>
      </c>
      <c r="D1098" t="s">
        <v>53</v>
      </c>
      <c r="E1098" s="30">
        <v>0</v>
      </c>
      <c r="F1098" s="31">
        <v>0</v>
      </c>
      <c r="G1098" s="31">
        <v>0</v>
      </c>
      <c r="H1098" s="31">
        <v>0</v>
      </c>
      <c r="I1098" s="31">
        <v>3</v>
      </c>
      <c r="J1098" s="31">
        <f t="shared" si="65"/>
        <v>3</v>
      </c>
      <c r="K1098" s="28">
        <v>398000</v>
      </c>
      <c r="L1098" s="29">
        <v>0.17</v>
      </c>
      <c r="M1098" s="31">
        <f t="shared" si="66"/>
        <v>67660</v>
      </c>
      <c r="N1098" s="28">
        <f t="shared" si="67"/>
        <v>330340</v>
      </c>
    </row>
    <row r="1099" spans="1:15" x14ac:dyDescent="0.35">
      <c r="A1099">
        <v>741164009</v>
      </c>
      <c r="B1099" t="s">
        <v>59</v>
      </c>
      <c r="C1099" t="s">
        <v>28</v>
      </c>
      <c r="D1099" t="s">
        <v>53</v>
      </c>
      <c r="E1099" s="30">
        <v>0</v>
      </c>
      <c r="F1099" s="31">
        <v>0</v>
      </c>
      <c r="G1099" s="31">
        <v>0</v>
      </c>
      <c r="H1099" s="31">
        <v>0</v>
      </c>
      <c r="I1099" s="31">
        <v>3</v>
      </c>
      <c r="J1099" s="31">
        <f t="shared" si="65"/>
        <v>3</v>
      </c>
      <c r="K1099" s="28">
        <v>398000</v>
      </c>
      <c r="L1099" s="29">
        <v>0.17</v>
      </c>
      <c r="M1099" s="31">
        <f t="shared" si="66"/>
        <v>67660</v>
      </c>
      <c r="N1099" s="28">
        <f t="shared" si="67"/>
        <v>330340</v>
      </c>
    </row>
    <row r="1100" spans="1:15" x14ac:dyDescent="0.35">
      <c r="A1100">
        <v>741164010</v>
      </c>
      <c r="B1100" t="s">
        <v>60</v>
      </c>
      <c r="C1100" t="s">
        <v>28</v>
      </c>
      <c r="D1100" t="s">
        <v>53</v>
      </c>
      <c r="E1100" s="30">
        <v>0</v>
      </c>
      <c r="F1100" s="31">
        <v>0</v>
      </c>
      <c r="G1100" s="31">
        <v>0</v>
      </c>
      <c r="H1100" s="31">
        <v>0</v>
      </c>
      <c r="I1100" s="31">
        <v>1</v>
      </c>
      <c r="J1100" s="31">
        <f t="shared" si="65"/>
        <v>1</v>
      </c>
      <c r="K1100" s="28">
        <v>398000</v>
      </c>
      <c r="L1100" s="29">
        <v>0.17</v>
      </c>
      <c r="M1100" s="31">
        <f t="shared" si="66"/>
        <v>67660</v>
      </c>
      <c r="N1100" s="28">
        <f t="shared" si="67"/>
        <v>330340</v>
      </c>
    </row>
    <row r="1101" spans="1:15" x14ac:dyDescent="0.35">
      <c r="A1101">
        <v>741164011</v>
      </c>
      <c r="B1101" t="s">
        <v>61</v>
      </c>
      <c r="C1101" t="s">
        <v>28</v>
      </c>
      <c r="D1101" t="s">
        <v>53</v>
      </c>
      <c r="E1101" s="30">
        <v>0</v>
      </c>
      <c r="F1101" s="31">
        <v>0</v>
      </c>
      <c r="G1101" s="31">
        <v>0</v>
      </c>
      <c r="H1101" s="31">
        <v>0</v>
      </c>
      <c r="I1101" s="31">
        <v>3</v>
      </c>
      <c r="J1101" s="31">
        <f t="shared" si="65"/>
        <v>3</v>
      </c>
      <c r="K1101" s="28">
        <v>398000</v>
      </c>
      <c r="L1101" s="29">
        <v>0.17</v>
      </c>
      <c r="M1101" s="31">
        <f t="shared" si="66"/>
        <v>67660</v>
      </c>
      <c r="N1101" s="28">
        <f t="shared" si="67"/>
        <v>330340</v>
      </c>
    </row>
    <row r="1102" spans="1:15" x14ac:dyDescent="0.35">
      <c r="A1102">
        <v>735655001</v>
      </c>
      <c r="B1102" t="s">
        <v>542</v>
      </c>
      <c r="C1102" t="s">
        <v>92</v>
      </c>
      <c r="D1102" t="s">
        <v>53</v>
      </c>
      <c r="E1102" s="30" t="s">
        <v>14</v>
      </c>
      <c r="F1102" s="31">
        <v>0</v>
      </c>
      <c r="G1102" s="31">
        <v>0</v>
      </c>
      <c r="H1102" s="31">
        <v>0</v>
      </c>
      <c r="I1102" s="31">
        <v>6</v>
      </c>
      <c r="J1102" s="31">
        <f t="shared" si="65"/>
        <v>6</v>
      </c>
      <c r="K1102" s="28">
        <v>1648000</v>
      </c>
      <c r="L1102" s="29">
        <v>0.45</v>
      </c>
      <c r="M1102" s="31">
        <f t="shared" si="66"/>
        <v>741600</v>
      </c>
      <c r="N1102" s="28">
        <f t="shared" si="67"/>
        <v>906400.00000000012</v>
      </c>
      <c r="O1102" s="28">
        <v>1318400</v>
      </c>
    </row>
    <row r="1103" spans="1:15" x14ac:dyDescent="0.35">
      <c r="A1103">
        <v>735655002</v>
      </c>
      <c r="B1103" t="s">
        <v>543</v>
      </c>
      <c r="C1103" t="s">
        <v>92</v>
      </c>
      <c r="D1103" t="s">
        <v>53</v>
      </c>
      <c r="E1103" s="30" t="s">
        <v>14</v>
      </c>
      <c r="F1103" s="31">
        <v>0</v>
      </c>
      <c r="G1103" s="31">
        <v>0</v>
      </c>
      <c r="H1103" s="31">
        <v>0</v>
      </c>
      <c r="I1103" s="31">
        <v>6</v>
      </c>
      <c r="J1103" s="31">
        <f t="shared" si="65"/>
        <v>6</v>
      </c>
      <c r="K1103" s="28">
        <v>1648000</v>
      </c>
      <c r="L1103" s="29">
        <v>0.45</v>
      </c>
      <c r="M1103" s="31">
        <f t="shared" si="66"/>
        <v>741600</v>
      </c>
      <c r="N1103" s="28">
        <f t="shared" si="67"/>
        <v>906400.00000000012</v>
      </c>
      <c r="O1103" s="28">
        <v>1318400</v>
      </c>
    </row>
    <row r="1104" spans="1:15" x14ac:dyDescent="0.35">
      <c r="A1104">
        <v>735663002</v>
      </c>
      <c r="B1104" t="s">
        <v>95</v>
      </c>
      <c r="C1104" t="s">
        <v>92</v>
      </c>
      <c r="D1104" t="s">
        <v>53</v>
      </c>
      <c r="E1104" s="30" t="s">
        <v>14</v>
      </c>
      <c r="F1104" s="31">
        <v>0</v>
      </c>
      <c r="G1104" s="31">
        <v>0</v>
      </c>
      <c r="H1104" s="31">
        <v>0</v>
      </c>
      <c r="I1104" s="31">
        <v>1</v>
      </c>
      <c r="J1104" s="31">
        <f t="shared" si="65"/>
        <v>1</v>
      </c>
      <c r="K1104" s="28">
        <v>2998000</v>
      </c>
      <c r="L1104" s="29">
        <v>0.45</v>
      </c>
      <c r="M1104" s="31">
        <f t="shared" si="66"/>
        <v>1349100</v>
      </c>
      <c r="N1104" s="28">
        <f t="shared" si="67"/>
        <v>1648900.0000000002</v>
      </c>
      <c r="O1104" s="28">
        <v>2398400</v>
      </c>
    </row>
    <row r="1105" spans="1:15" x14ac:dyDescent="0.35">
      <c r="A1105">
        <v>735664004</v>
      </c>
      <c r="B1105" t="s">
        <v>94</v>
      </c>
      <c r="C1105" t="s">
        <v>92</v>
      </c>
      <c r="D1105" t="s">
        <v>53</v>
      </c>
      <c r="E1105" s="30" t="s">
        <v>14</v>
      </c>
      <c r="F1105" s="31">
        <v>0</v>
      </c>
      <c r="G1105" s="31">
        <v>0</v>
      </c>
      <c r="H1105" s="31">
        <v>0</v>
      </c>
      <c r="I1105" s="31">
        <v>2</v>
      </c>
      <c r="J1105" s="31">
        <f t="shared" si="65"/>
        <v>2</v>
      </c>
      <c r="K1105" s="28">
        <v>3698000</v>
      </c>
      <c r="L1105" s="29">
        <v>0.45</v>
      </c>
      <c r="M1105" s="31">
        <f t="shared" si="66"/>
        <v>1664100</v>
      </c>
      <c r="N1105" s="28">
        <f t="shared" si="67"/>
        <v>2033900.0000000002</v>
      </c>
      <c r="O1105" s="28">
        <v>2958400</v>
      </c>
    </row>
    <row r="1106" spans="1:15" x14ac:dyDescent="0.35">
      <c r="A1106">
        <v>737169003</v>
      </c>
      <c r="B1106" t="s">
        <v>545</v>
      </c>
      <c r="C1106" t="s">
        <v>92</v>
      </c>
      <c r="D1106" t="s">
        <v>53</v>
      </c>
      <c r="E1106" s="30" t="s">
        <v>14</v>
      </c>
      <c r="F1106" s="31">
        <v>0</v>
      </c>
      <c r="G1106" s="31">
        <v>0</v>
      </c>
      <c r="H1106" s="31">
        <v>0</v>
      </c>
      <c r="I1106" s="31">
        <v>1</v>
      </c>
      <c r="J1106" s="31">
        <f t="shared" si="65"/>
        <v>1</v>
      </c>
      <c r="K1106" s="28">
        <v>1298000</v>
      </c>
      <c r="L1106" s="29">
        <v>0.45</v>
      </c>
      <c r="M1106" s="31">
        <f t="shared" si="66"/>
        <v>584100</v>
      </c>
      <c r="N1106" s="28">
        <f t="shared" si="67"/>
        <v>713900</v>
      </c>
      <c r="O1106" s="28">
        <v>1038400</v>
      </c>
    </row>
    <row r="1107" spans="1:15" x14ac:dyDescent="0.35">
      <c r="A1107">
        <v>737171004</v>
      </c>
      <c r="B1107" t="s">
        <v>546</v>
      </c>
      <c r="C1107" t="s">
        <v>92</v>
      </c>
      <c r="D1107" t="s">
        <v>53</v>
      </c>
      <c r="E1107" s="30" t="s">
        <v>14</v>
      </c>
      <c r="F1107" s="31">
        <v>0</v>
      </c>
      <c r="G1107" s="31">
        <v>0</v>
      </c>
      <c r="H1107" s="31">
        <v>0</v>
      </c>
      <c r="I1107" s="31">
        <v>1</v>
      </c>
      <c r="J1107" s="31">
        <f t="shared" si="65"/>
        <v>1</v>
      </c>
      <c r="K1107" s="28">
        <v>1548000</v>
      </c>
      <c r="L1107" s="29">
        <v>0.45</v>
      </c>
      <c r="M1107" s="31">
        <f t="shared" si="66"/>
        <v>696600</v>
      </c>
      <c r="N1107" s="28">
        <f t="shared" si="67"/>
        <v>851400.00000000012</v>
      </c>
      <c r="O1107" s="28">
        <v>1238400</v>
      </c>
    </row>
    <row r="1108" spans="1:15" x14ac:dyDescent="0.35">
      <c r="A1108">
        <v>737510001</v>
      </c>
      <c r="B1108" t="s">
        <v>547</v>
      </c>
      <c r="C1108" t="s">
        <v>92</v>
      </c>
      <c r="D1108" t="s">
        <v>53</v>
      </c>
      <c r="E1108" s="30" t="s">
        <v>14</v>
      </c>
      <c r="F1108" s="31">
        <v>0</v>
      </c>
      <c r="G1108" s="31">
        <v>0</v>
      </c>
      <c r="H1108" s="31">
        <v>0</v>
      </c>
      <c r="I1108" s="31">
        <v>4</v>
      </c>
      <c r="J1108" s="31">
        <f t="shared" si="65"/>
        <v>4</v>
      </c>
      <c r="K1108" s="28">
        <v>1648000</v>
      </c>
      <c r="L1108" s="29">
        <v>0.45</v>
      </c>
      <c r="M1108" s="31">
        <f t="shared" si="66"/>
        <v>741600</v>
      </c>
      <c r="N1108" s="28">
        <f t="shared" si="67"/>
        <v>906400.00000000012</v>
      </c>
      <c r="O1108" s="28">
        <v>1318400</v>
      </c>
    </row>
    <row r="1109" spans="1:15" x14ac:dyDescent="0.35">
      <c r="A1109">
        <v>737442001</v>
      </c>
      <c r="B1109" t="s">
        <v>1313</v>
      </c>
      <c r="C1109" t="s">
        <v>89</v>
      </c>
      <c r="D1109" t="s">
        <v>53</v>
      </c>
      <c r="E1109" s="30" t="s">
        <v>14</v>
      </c>
      <c r="F1109" s="31">
        <v>0</v>
      </c>
      <c r="G1109" s="31">
        <v>0</v>
      </c>
      <c r="H1109" s="31">
        <v>1</v>
      </c>
      <c r="I1109" s="31">
        <v>7</v>
      </c>
      <c r="J1109" s="31">
        <f t="shared" si="65"/>
        <v>8</v>
      </c>
      <c r="K1109" s="28">
        <v>798000</v>
      </c>
      <c r="L1109" s="29">
        <v>0.81</v>
      </c>
      <c r="M1109" s="31">
        <f t="shared" si="66"/>
        <v>646380</v>
      </c>
      <c r="N1109" s="28">
        <f t="shared" si="67"/>
        <v>151619.99999999997</v>
      </c>
      <c r="O1109" s="28">
        <v>558600</v>
      </c>
    </row>
    <row r="1110" spans="1:15" x14ac:dyDescent="0.35">
      <c r="A1110">
        <v>737442002</v>
      </c>
      <c r="B1110" t="s">
        <v>1314</v>
      </c>
      <c r="C1110" t="s">
        <v>89</v>
      </c>
      <c r="D1110" t="s">
        <v>53</v>
      </c>
      <c r="E1110" s="30" t="s">
        <v>14</v>
      </c>
      <c r="F1110" s="31">
        <v>0</v>
      </c>
      <c r="G1110" s="31">
        <v>0</v>
      </c>
      <c r="H1110" s="31">
        <v>0</v>
      </c>
      <c r="I1110" s="31">
        <v>8</v>
      </c>
      <c r="J1110" s="31">
        <f t="shared" si="65"/>
        <v>8</v>
      </c>
      <c r="K1110" s="28">
        <v>798000</v>
      </c>
      <c r="L1110" s="29">
        <v>0.81</v>
      </c>
      <c r="M1110" s="31">
        <f t="shared" si="66"/>
        <v>646380</v>
      </c>
      <c r="N1110" s="28">
        <f t="shared" si="67"/>
        <v>151619.99999999997</v>
      </c>
      <c r="O1110" s="28">
        <v>558600</v>
      </c>
    </row>
    <row r="1111" spans="1:15" x14ac:dyDescent="0.35">
      <c r="A1111">
        <v>737442003</v>
      </c>
      <c r="B1111" t="s">
        <v>1315</v>
      </c>
      <c r="C1111" t="s">
        <v>89</v>
      </c>
      <c r="D1111" t="s">
        <v>53</v>
      </c>
      <c r="E1111" s="30" t="s">
        <v>14</v>
      </c>
      <c r="F1111" s="31">
        <v>0</v>
      </c>
      <c r="G1111" s="31">
        <v>0</v>
      </c>
      <c r="H1111" s="31">
        <v>0</v>
      </c>
      <c r="I1111" s="31">
        <v>1</v>
      </c>
      <c r="J1111" s="31">
        <f t="shared" si="65"/>
        <v>1</v>
      </c>
      <c r="K1111" s="28">
        <v>798000</v>
      </c>
      <c r="L1111" s="29">
        <v>0.81</v>
      </c>
      <c r="M1111" s="31">
        <f t="shared" si="66"/>
        <v>646380</v>
      </c>
      <c r="N1111" s="28">
        <f t="shared" si="67"/>
        <v>151619.99999999997</v>
      </c>
      <c r="O1111" s="28">
        <v>558600</v>
      </c>
    </row>
    <row r="1112" spans="1:15" x14ac:dyDescent="0.35">
      <c r="A1112">
        <v>737442004</v>
      </c>
      <c r="B1112" t="s">
        <v>1316</v>
      </c>
      <c r="C1112" t="s">
        <v>89</v>
      </c>
      <c r="D1112" t="s">
        <v>53</v>
      </c>
      <c r="E1112" s="30" t="s">
        <v>14</v>
      </c>
      <c r="F1112" s="31">
        <v>0</v>
      </c>
      <c r="G1112" s="31">
        <v>0</v>
      </c>
      <c r="H1112" s="31">
        <v>0</v>
      </c>
      <c r="I1112" s="31">
        <v>6</v>
      </c>
      <c r="J1112" s="31">
        <f t="shared" si="65"/>
        <v>6</v>
      </c>
      <c r="K1112" s="28">
        <v>798000</v>
      </c>
      <c r="L1112" s="29">
        <v>0.81</v>
      </c>
      <c r="M1112" s="31">
        <f t="shared" si="66"/>
        <v>646380</v>
      </c>
      <c r="N1112" s="28">
        <f t="shared" si="67"/>
        <v>151619.99999999997</v>
      </c>
      <c r="O1112" s="28">
        <v>558600</v>
      </c>
    </row>
    <row r="1113" spans="1:15" x14ac:dyDescent="0.35">
      <c r="A1113">
        <v>737442005</v>
      </c>
      <c r="B1113" t="s">
        <v>1317</v>
      </c>
      <c r="C1113" t="s">
        <v>89</v>
      </c>
      <c r="D1113" t="s">
        <v>53</v>
      </c>
      <c r="E1113" s="30" t="s">
        <v>14</v>
      </c>
      <c r="F1113" s="31">
        <v>0</v>
      </c>
      <c r="G1113" s="31">
        <v>0</v>
      </c>
      <c r="H1113" s="31">
        <v>2</v>
      </c>
      <c r="I1113" s="31">
        <v>3</v>
      </c>
      <c r="J1113" s="31">
        <f t="shared" si="65"/>
        <v>5</v>
      </c>
      <c r="K1113" s="28">
        <v>798000</v>
      </c>
      <c r="L1113" s="29">
        <v>0.81</v>
      </c>
      <c r="M1113" s="31">
        <f t="shared" si="66"/>
        <v>646380</v>
      </c>
      <c r="N1113" s="28">
        <f t="shared" si="67"/>
        <v>151619.99999999997</v>
      </c>
      <c r="O1113" s="28">
        <v>558600</v>
      </c>
    </row>
    <row r="1114" spans="1:15" x14ac:dyDescent="0.35">
      <c r="A1114">
        <v>735681004</v>
      </c>
      <c r="B1114" t="s">
        <v>340</v>
      </c>
      <c r="C1114" t="s">
        <v>92</v>
      </c>
      <c r="D1114" t="s">
        <v>341</v>
      </c>
      <c r="E1114" s="30" t="s">
        <v>14</v>
      </c>
      <c r="F1114" s="31">
        <v>0</v>
      </c>
      <c r="G1114" s="31">
        <v>0</v>
      </c>
      <c r="H1114" s="31">
        <v>0</v>
      </c>
      <c r="I1114" s="31">
        <v>1</v>
      </c>
      <c r="J1114" s="31">
        <f t="shared" si="65"/>
        <v>1</v>
      </c>
      <c r="K1114" s="28">
        <v>278000</v>
      </c>
      <c r="L1114" s="29">
        <v>0.81</v>
      </c>
      <c r="M1114" s="31">
        <f t="shared" si="66"/>
        <v>225180.00000000003</v>
      </c>
      <c r="N1114" s="28">
        <f t="shared" si="67"/>
        <v>52819.999999999985</v>
      </c>
    </row>
    <row r="1115" spans="1:15" x14ac:dyDescent="0.35">
      <c r="A1115">
        <v>201777</v>
      </c>
      <c r="B1115" t="s">
        <v>1320</v>
      </c>
      <c r="C1115" t="s">
        <v>368</v>
      </c>
      <c r="D1115" t="s">
        <v>112</v>
      </c>
      <c r="E1115" s="30" t="s">
        <v>14</v>
      </c>
      <c r="F1115" s="31">
        <v>0</v>
      </c>
      <c r="G1115" s="31">
        <v>0</v>
      </c>
      <c r="H1115" s="31">
        <v>0</v>
      </c>
      <c r="I1115" s="31">
        <v>4</v>
      </c>
      <c r="J1115" s="31">
        <f t="shared" si="65"/>
        <v>4</v>
      </c>
      <c r="K1115" s="28">
        <v>225000</v>
      </c>
      <c r="L1115" s="29">
        <v>0.81</v>
      </c>
      <c r="M1115" s="31">
        <f t="shared" si="66"/>
        <v>182250</v>
      </c>
      <c r="N1115" s="28">
        <f t="shared" si="67"/>
        <v>42749.999999999985</v>
      </c>
      <c r="O1115" s="28">
        <v>112500</v>
      </c>
    </row>
    <row r="1116" spans="1:15" x14ac:dyDescent="0.35">
      <c r="A1116">
        <v>716041001</v>
      </c>
      <c r="B1116" t="s">
        <v>1321</v>
      </c>
      <c r="C1116" t="s">
        <v>12</v>
      </c>
      <c r="D1116" t="s">
        <v>1322</v>
      </c>
      <c r="E1116" s="30" t="s">
        <v>14</v>
      </c>
      <c r="F1116" s="31">
        <v>0</v>
      </c>
      <c r="G1116" s="31">
        <v>0</v>
      </c>
      <c r="H1116" s="31">
        <v>0</v>
      </c>
      <c r="I1116" s="31">
        <v>1</v>
      </c>
      <c r="J1116" s="31">
        <f t="shared" si="65"/>
        <v>1</v>
      </c>
      <c r="K1116" s="28">
        <v>478000</v>
      </c>
      <c r="L1116" s="29">
        <v>0.81</v>
      </c>
      <c r="M1116" s="31">
        <f t="shared" si="66"/>
        <v>387180</v>
      </c>
      <c r="N1116" s="28">
        <f t="shared" si="67"/>
        <v>90819.999999999971</v>
      </c>
      <c r="O1116" s="28">
        <v>239000</v>
      </c>
    </row>
    <row r="1117" spans="1:15" x14ac:dyDescent="0.35">
      <c r="A1117">
        <v>726143001</v>
      </c>
      <c r="B1117" t="s">
        <v>1323</v>
      </c>
      <c r="C1117" t="s">
        <v>12</v>
      </c>
      <c r="D1117" t="s">
        <v>1322</v>
      </c>
      <c r="E1117" s="30" t="s">
        <v>14</v>
      </c>
      <c r="F1117" s="31">
        <v>0</v>
      </c>
      <c r="G1117" s="31">
        <v>0</v>
      </c>
      <c r="H1117" s="31">
        <v>1</v>
      </c>
      <c r="I1117" s="31">
        <v>2</v>
      </c>
      <c r="J1117" s="31">
        <f t="shared" si="65"/>
        <v>3</v>
      </c>
      <c r="K1117" s="28">
        <v>1098000</v>
      </c>
      <c r="L1117" s="29">
        <v>0.81</v>
      </c>
      <c r="M1117" s="31">
        <f t="shared" si="66"/>
        <v>889380.00000000012</v>
      </c>
      <c r="N1117" s="28">
        <f t="shared" si="67"/>
        <v>208619.99999999994</v>
      </c>
      <c r="O1117" s="28">
        <v>549000</v>
      </c>
    </row>
    <row r="1118" spans="1:15" x14ac:dyDescent="0.35">
      <c r="A1118">
        <v>718055001</v>
      </c>
      <c r="B1118" t="s">
        <v>1327</v>
      </c>
      <c r="C1118" t="s">
        <v>428</v>
      </c>
      <c r="D1118" t="s">
        <v>1322</v>
      </c>
      <c r="E1118" s="30" t="s">
        <v>14</v>
      </c>
      <c r="F1118" s="31">
        <v>0</v>
      </c>
      <c r="G1118" s="31">
        <v>5</v>
      </c>
      <c r="H1118" s="31">
        <v>0</v>
      </c>
      <c r="I1118" s="31">
        <v>22</v>
      </c>
      <c r="J1118" s="31">
        <f t="shared" si="65"/>
        <v>27</v>
      </c>
      <c r="K1118" s="28">
        <v>298000</v>
      </c>
      <c r="L1118" s="29">
        <v>0.81</v>
      </c>
      <c r="M1118" s="31">
        <f t="shared" si="66"/>
        <v>241380.00000000003</v>
      </c>
      <c r="N1118" s="28">
        <f t="shared" si="67"/>
        <v>56619.999999999985</v>
      </c>
      <c r="O1118" s="28">
        <v>149000</v>
      </c>
    </row>
    <row r="1119" spans="1:15" x14ac:dyDescent="0.35">
      <c r="A1119">
        <v>722315001</v>
      </c>
      <c r="B1119" t="s">
        <v>1328</v>
      </c>
      <c r="C1119" t="s">
        <v>428</v>
      </c>
      <c r="D1119" t="s">
        <v>1322</v>
      </c>
      <c r="E1119" s="30" t="s">
        <v>14</v>
      </c>
      <c r="F1119" s="31">
        <v>129</v>
      </c>
      <c r="G1119" s="31">
        <v>0</v>
      </c>
      <c r="H1119" s="31">
        <v>0</v>
      </c>
      <c r="I1119" s="31">
        <v>20</v>
      </c>
      <c r="J1119" s="31">
        <f t="shared" si="65"/>
        <v>149</v>
      </c>
      <c r="K1119" s="28">
        <v>298000</v>
      </c>
      <c r="L1119" s="29">
        <v>0.81</v>
      </c>
      <c r="M1119" s="31">
        <f t="shared" si="66"/>
        <v>241380.00000000003</v>
      </c>
      <c r="N1119" s="28">
        <f t="shared" si="67"/>
        <v>56619.999999999985</v>
      </c>
      <c r="O1119" s="28">
        <v>59599.999999999985</v>
      </c>
    </row>
    <row r="1120" spans="1:15" x14ac:dyDescent="0.35">
      <c r="A1120">
        <v>724941001</v>
      </c>
      <c r="B1120" t="s">
        <v>1329</v>
      </c>
      <c r="C1120" t="s">
        <v>428</v>
      </c>
      <c r="D1120" t="s">
        <v>1322</v>
      </c>
      <c r="E1120" s="30" t="s">
        <v>14</v>
      </c>
      <c r="F1120" s="31">
        <v>0</v>
      </c>
      <c r="G1120" s="31">
        <v>0</v>
      </c>
      <c r="H1120" s="31">
        <v>0</v>
      </c>
      <c r="I1120" s="31">
        <v>6</v>
      </c>
      <c r="J1120" s="31">
        <f t="shared" si="65"/>
        <v>6</v>
      </c>
      <c r="K1120" s="28">
        <v>398000</v>
      </c>
      <c r="L1120" s="29">
        <v>0.81</v>
      </c>
      <c r="M1120" s="31">
        <f t="shared" si="66"/>
        <v>322380</v>
      </c>
      <c r="N1120" s="28">
        <f t="shared" si="67"/>
        <v>75619.999999999985</v>
      </c>
      <c r="O1120" s="28">
        <v>199000</v>
      </c>
    </row>
    <row r="1121" spans="1:15" x14ac:dyDescent="0.35">
      <c r="A1121">
        <v>200587001</v>
      </c>
      <c r="B1121" t="s">
        <v>1333</v>
      </c>
      <c r="C1121" t="s">
        <v>368</v>
      </c>
      <c r="D1121" t="s">
        <v>1322</v>
      </c>
      <c r="E1121" s="30" t="s">
        <v>14</v>
      </c>
      <c r="F1121" s="31">
        <v>0</v>
      </c>
      <c r="G1121" s="31">
        <v>0</v>
      </c>
      <c r="H1121" s="31">
        <v>0</v>
      </c>
      <c r="I1121" s="31">
        <v>9</v>
      </c>
      <c r="J1121" s="31">
        <f t="shared" si="65"/>
        <v>9</v>
      </c>
      <c r="K1121" s="28">
        <v>54000</v>
      </c>
      <c r="L1121" s="29">
        <v>0.81</v>
      </c>
      <c r="M1121" s="31">
        <f t="shared" si="66"/>
        <v>43740</v>
      </c>
      <c r="N1121" s="28">
        <f t="shared" si="67"/>
        <v>10259.999999999996</v>
      </c>
      <c r="O1121" s="28">
        <v>43200</v>
      </c>
    </row>
    <row r="1122" spans="1:15" x14ac:dyDescent="0.35">
      <c r="A1122">
        <v>200658001</v>
      </c>
      <c r="B1122" t="s">
        <v>1334</v>
      </c>
      <c r="C1122" t="s">
        <v>368</v>
      </c>
      <c r="D1122" t="s">
        <v>1322</v>
      </c>
      <c r="E1122" s="30" t="s">
        <v>14</v>
      </c>
      <c r="F1122" s="31">
        <v>0</v>
      </c>
      <c r="G1122" s="31">
        <v>0</v>
      </c>
      <c r="H1122" s="31">
        <v>0</v>
      </c>
      <c r="I1122" s="31">
        <v>8</v>
      </c>
      <c r="J1122" s="31">
        <f t="shared" si="65"/>
        <v>8</v>
      </c>
      <c r="K1122" s="28">
        <v>59000</v>
      </c>
      <c r="L1122" s="29">
        <v>0.81</v>
      </c>
      <c r="M1122" s="31">
        <f t="shared" si="66"/>
        <v>47790</v>
      </c>
      <c r="N1122" s="28">
        <f t="shared" si="67"/>
        <v>11209.999999999996</v>
      </c>
      <c r="O1122" s="28">
        <v>49000</v>
      </c>
    </row>
    <row r="1123" spans="1:15" x14ac:dyDescent="0.35">
      <c r="A1123">
        <v>500854001</v>
      </c>
      <c r="B1123" t="s">
        <v>1335</v>
      </c>
      <c r="C1123" t="s">
        <v>368</v>
      </c>
      <c r="D1123" t="s">
        <v>1322</v>
      </c>
      <c r="E1123" s="30" t="s">
        <v>14</v>
      </c>
      <c r="F1123" s="31">
        <v>0</v>
      </c>
      <c r="G1123" s="31">
        <v>0</v>
      </c>
      <c r="H1123" s="31">
        <v>0</v>
      </c>
      <c r="I1123" s="31">
        <v>14</v>
      </c>
      <c r="J1123" s="31">
        <f t="shared" si="65"/>
        <v>14</v>
      </c>
      <c r="K1123" s="28">
        <v>34000</v>
      </c>
      <c r="L1123" s="29">
        <v>0.81</v>
      </c>
      <c r="M1123" s="31">
        <f t="shared" si="66"/>
        <v>27540</v>
      </c>
      <c r="N1123" s="28">
        <f t="shared" si="67"/>
        <v>6459.9999999999982</v>
      </c>
      <c r="O1123" s="28">
        <v>24000</v>
      </c>
    </row>
    <row r="1124" spans="1:15" x14ac:dyDescent="0.35">
      <c r="A1124">
        <v>500855001</v>
      </c>
      <c r="B1124" t="s">
        <v>1336</v>
      </c>
      <c r="C1124" t="s">
        <v>368</v>
      </c>
      <c r="D1124" t="s">
        <v>1322</v>
      </c>
      <c r="E1124" s="30" t="s">
        <v>14</v>
      </c>
      <c r="F1124" s="31">
        <v>0</v>
      </c>
      <c r="G1124" s="31">
        <v>0</v>
      </c>
      <c r="H1124" s="31">
        <v>0</v>
      </c>
      <c r="I1124" s="31">
        <v>20</v>
      </c>
      <c r="J1124" s="31">
        <f t="shared" si="65"/>
        <v>20</v>
      </c>
      <c r="K1124" s="28">
        <v>34000</v>
      </c>
      <c r="L1124" s="29">
        <v>0.81</v>
      </c>
      <c r="M1124" s="31">
        <f t="shared" si="66"/>
        <v>27540</v>
      </c>
      <c r="N1124" s="28">
        <f t="shared" si="67"/>
        <v>6459.9999999999982</v>
      </c>
      <c r="O1124" s="28">
        <v>24000</v>
      </c>
    </row>
    <row r="1125" spans="1:15" x14ac:dyDescent="0.35">
      <c r="A1125">
        <v>706981001</v>
      </c>
      <c r="B1125" t="s">
        <v>1337</v>
      </c>
      <c r="C1125" t="s">
        <v>368</v>
      </c>
      <c r="D1125" t="s">
        <v>1322</v>
      </c>
      <c r="E1125" s="30" t="s">
        <v>14</v>
      </c>
      <c r="F1125" s="31">
        <v>0</v>
      </c>
      <c r="G1125" s="31">
        <v>0</v>
      </c>
      <c r="H1125" s="31">
        <v>0</v>
      </c>
      <c r="I1125" s="31">
        <v>284</v>
      </c>
      <c r="J1125" s="31">
        <f t="shared" si="65"/>
        <v>284</v>
      </c>
      <c r="K1125" s="28">
        <v>89000</v>
      </c>
      <c r="L1125" s="29">
        <v>0.81</v>
      </c>
      <c r="M1125" s="31">
        <f t="shared" si="66"/>
        <v>72090</v>
      </c>
      <c r="N1125" s="28">
        <f t="shared" si="67"/>
        <v>16909.999999999996</v>
      </c>
      <c r="O1125" s="28">
        <v>49000</v>
      </c>
    </row>
    <row r="1126" spans="1:15" x14ac:dyDescent="0.35">
      <c r="A1126">
        <v>709821001</v>
      </c>
      <c r="B1126" t="s">
        <v>1338</v>
      </c>
      <c r="C1126" t="s">
        <v>368</v>
      </c>
      <c r="D1126" t="s">
        <v>1322</v>
      </c>
      <c r="E1126" s="30" t="s">
        <v>14</v>
      </c>
      <c r="F1126" s="31">
        <v>0</v>
      </c>
      <c r="G1126" s="31">
        <v>0</v>
      </c>
      <c r="H1126" s="31">
        <v>0</v>
      </c>
      <c r="I1126" s="31">
        <v>3</v>
      </c>
      <c r="J1126" s="31">
        <f t="shared" si="65"/>
        <v>3</v>
      </c>
      <c r="K1126" s="28">
        <v>148000</v>
      </c>
      <c r="L1126" s="29">
        <v>0.81</v>
      </c>
      <c r="M1126" s="31">
        <f t="shared" si="66"/>
        <v>119880.00000000001</v>
      </c>
      <c r="N1126" s="28">
        <f t="shared" si="67"/>
        <v>28119.999999999993</v>
      </c>
      <c r="O1126" s="28">
        <v>118400</v>
      </c>
    </row>
    <row r="1127" spans="1:15" x14ac:dyDescent="0.35">
      <c r="A1127">
        <v>709821002</v>
      </c>
      <c r="B1127" t="s">
        <v>1339</v>
      </c>
      <c r="C1127" t="s">
        <v>368</v>
      </c>
      <c r="D1127" t="s">
        <v>1322</v>
      </c>
      <c r="E1127" s="30" t="s">
        <v>14</v>
      </c>
      <c r="F1127" s="31">
        <v>0</v>
      </c>
      <c r="G1127" s="31">
        <v>4</v>
      </c>
      <c r="H1127" s="31">
        <v>0</v>
      </c>
      <c r="I1127" s="31">
        <v>3</v>
      </c>
      <c r="J1127" s="31">
        <f t="shared" si="65"/>
        <v>7</v>
      </c>
      <c r="K1127" s="28">
        <v>148000</v>
      </c>
      <c r="L1127" s="29">
        <v>0.81</v>
      </c>
      <c r="M1127" s="31">
        <f t="shared" si="66"/>
        <v>119880.00000000001</v>
      </c>
      <c r="N1127" s="28">
        <f t="shared" si="67"/>
        <v>28119.999999999993</v>
      </c>
      <c r="O1127" s="28">
        <v>118400</v>
      </c>
    </row>
    <row r="1128" spans="1:15" x14ac:dyDescent="0.35">
      <c r="A1128">
        <v>731449001</v>
      </c>
      <c r="B1128" t="s">
        <v>2076</v>
      </c>
      <c r="C1128" t="s">
        <v>368</v>
      </c>
      <c r="D1128" t="s">
        <v>1322</v>
      </c>
      <c r="E1128" s="30" t="s">
        <v>14</v>
      </c>
      <c r="F1128" s="31">
        <v>0</v>
      </c>
      <c r="G1128" s="31">
        <v>0</v>
      </c>
      <c r="H1128" s="31">
        <v>0</v>
      </c>
      <c r="I1128" s="31">
        <v>8</v>
      </c>
      <c r="J1128" s="31">
        <f t="shared" si="65"/>
        <v>8</v>
      </c>
      <c r="K1128" s="28">
        <v>128000</v>
      </c>
      <c r="L1128" s="29">
        <v>0.81</v>
      </c>
      <c r="M1128" s="31">
        <f t="shared" si="66"/>
        <v>103680</v>
      </c>
      <c r="N1128" s="28">
        <f t="shared" si="67"/>
        <v>24319.999999999993</v>
      </c>
    </row>
    <row r="1129" spans="1:15" x14ac:dyDescent="0.35">
      <c r="A1129">
        <v>706977001</v>
      </c>
      <c r="B1129" t="s">
        <v>2077</v>
      </c>
      <c r="C1129" t="s">
        <v>1665</v>
      </c>
      <c r="D1129" t="s">
        <v>1322</v>
      </c>
      <c r="E1129" s="30" t="s">
        <v>14</v>
      </c>
      <c r="F1129" s="31">
        <v>0</v>
      </c>
      <c r="G1129" s="31">
        <v>0</v>
      </c>
      <c r="H1129" s="31">
        <v>0</v>
      </c>
      <c r="I1129" s="31">
        <v>55</v>
      </c>
      <c r="J1129" s="31">
        <f t="shared" si="65"/>
        <v>55</v>
      </c>
      <c r="K1129" s="28">
        <v>298000</v>
      </c>
      <c r="L1129" s="29">
        <v>0.45</v>
      </c>
      <c r="M1129" s="31">
        <f t="shared" si="66"/>
        <v>134100</v>
      </c>
      <c r="N1129" s="28">
        <f t="shared" si="67"/>
        <v>163900</v>
      </c>
    </row>
    <row r="1130" spans="1:15" x14ac:dyDescent="0.35">
      <c r="A1130">
        <v>732332001</v>
      </c>
      <c r="B1130" t="s">
        <v>2078</v>
      </c>
      <c r="C1130" t="s">
        <v>1665</v>
      </c>
      <c r="D1130" t="s">
        <v>1322</v>
      </c>
      <c r="E1130" s="30" t="s">
        <v>14</v>
      </c>
      <c r="F1130" s="31">
        <v>0</v>
      </c>
      <c r="G1130" s="31">
        <v>0</v>
      </c>
      <c r="H1130" s="31">
        <v>0</v>
      </c>
      <c r="I1130" s="31">
        <v>1</v>
      </c>
      <c r="J1130" s="31">
        <f t="shared" si="65"/>
        <v>1</v>
      </c>
      <c r="K1130" s="28">
        <v>948000</v>
      </c>
      <c r="L1130" s="29">
        <v>0.81</v>
      </c>
      <c r="M1130" s="31">
        <f t="shared" si="66"/>
        <v>767880</v>
      </c>
      <c r="N1130" s="28">
        <f t="shared" si="67"/>
        <v>180119.99999999994</v>
      </c>
    </row>
    <row r="1131" spans="1:15" x14ac:dyDescent="0.35">
      <c r="A1131">
        <v>731932</v>
      </c>
      <c r="B1131" t="s">
        <v>498</v>
      </c>
      <c r="C1131" t="s">
        <v>391</v>
      </c>
      <c r="D1131" t="s">
        <v>355</v>
      </c>
      <c r="E1131" s="30" t="s">
        <v>14</v>
      </c>
      <c r="F1131" s="31">
        <v>0</v>
      </c>
      <c r="G1131" s="31">
        <v>0</v>
      </c>
      <c r="H1131" s="31">
        <v>0</v>
      </c>
      <c r="I1131" s="31">
        <v>21</v>
      </c>
      <c r="J1131" s="31">
        <f t="shared" si="65"/>
        <v>21</v>
      </c>
      <c r="K1131" s="28">
        <v>148000</v>
      </c>
      <c r="L1131" s="29">
        <v>0.45</v>
      </c>
      <c r="M1131" s="31">
        <f t="shared" si="66"/>
        <v>66600</v>
      </c>
      <c r="N1131" s="28">
        <f t="shared" si="67"/>
        <v>81400</v>
      </c>
      <c r="O1131" s="28">
        <v>118400</v>
      </c>
    </row>
    <row r="1132" spans="1:15" x14ac:dyDescent="0.35">
      <c r="A1132">
        <v>733109</v>
      </c>
      <c r="B1132" t="s">
        <v>1340</v>
      </c>
      <c r="C1132" t="s">
        <v>391</v>
      </c>
      <c r="D1132" t="s">
        <v>355</v>
      </c>
      <c r="E1132" s="30" t="s">
        <v>14</v>
      </c>
      <c r="F1132" s="31">
        <v>0</v>
      </c>
      <c r="G1132" s="31">
        <v>0</v>
      </c>
      <c r="H1132" s="31">
        <v>0</v>
      </c>
      <c r="I1132" s="31">
        <v>1</v>
      </c>
      <c r="J1132" s="31">
        <f t="shared" si="65"/>
        <v>1</v>
      </c>
      <c r="K1132" s="28">
        <v>148000</v>
      </c>
      <c r="L1132" s="29">
        <v>0.81</v>
      </c>
      <c r="M1132" s="31">
        <f t="shared" si="66"/>
        <v>119880.00000000001</v>
      </c>
      <c r="N1132" s="28">
        <f t="shared" si="67"/>
        <v>28119.999999999993</v>
      </c>
      <c r="O1132" s="28">
        <v>74000</v>
      </c>
    </row>
    <row r="1133" spans="1:15" x14ac:dyDescent="0.35">
      <c r="A1133">
        <v>735703</v>
      </c>
      <c r="B1133" t="s">
        <v>499</v>
      </c>
      <c r="C1133" t="s">
        <v>391</v>
      </c>
      <c r="D1133" t="s">
        <v>355</v>
      </c>
      <c r="E1133" s="30" t="s">
        <v>14</v>
      </c>
      <c r="F1133" s="31">
        <v>0</v>
      </c>
      <c r="G1133" s="31">
        <v>0</v>
      </c>
      <c r="H1133" s="31">
        <v>0</v>
      </c>
      <c r="I1133" s="31">
        <v>1</v>
      </c>
      <c r="J1133" s="31">
        <f t="shared" si="65"/>
        <v>1</v>
      </c>
      <c r="K1133" s="28">
        <v>248000</v>
      </c>
      <c r="L1133" s="29">
        <v>0.81</v>
      </c>
      <c r="M1133" s="31">
        <f t="shared" si="66"/>
        <v>200880</v>
      </c>
      <c r="N1133" s="28">
        <f t="shared" si="67"/>
        <v>47119.999999999985</v>
      </c>
    </row>
    <row r="1134" spans="1:15" x14ac:dyDescent="0.35">
      <c r="A1134">
        <v>735704</v>
      </c>
      <c r="B1134" t="s">
        <v>500</v>
      </c>
      <c r="C1134" t="s">
        <v>391</v>
      </c>
      <c r="D1134" t="s">
        <v>355</v>
      </c>
      <c r="E1134" s="30" t="s">
        <v>14</v>
      </c>
      <c r="F1134" s="31">
        <v>0</v>
      </c>
      <c r="G1134" s="31">
        <v>0</v>
      </c>
      <c r="H1134" s="31">
        <v>0</v>
      </c>
      <c r="I1134" s="31">
        <v>44</v>
      </c>
      <c r="J1134" s="31">
        <f t="shared" si="65"/>
        <v>44</v>
      </c>
      <c r="K1134" s="28">
        <v>248000</v>
      </c>
      <c r="L1134" s="29">
        <v>0.45</v>
      </c>
      <c r="M1134" s="31">
        <f t="shared" si="66"/>
        <v>111600</v>
      </c>
      <c r="N1134" s="28">
        <f t="shared" si="67"/>
        <v>136400</v>
      </c>
    </row>
    <row r="1135" spans="1:15" x14ac:dyDescent="0.35">
      <c r="A1135">
        <v>702834</v>
      </c>
      <c r="B1135" t="s">
        <v>2079</v>
      </c>
      <c r="C1135" t="s">
        <v>502</v>
      </c>
      <c r="D1135" t="s">
        <v>355</v>
      </c>
      <c r="E1135" s="30" t="s">
        <v>14</v>
      </c>
      <c r="F1135" s="31">
        <v>0</v>
      </c>
      <c r="G1135" s="31">
        <v>0</v>
      </c>
      <c r="H1135" s="31">
        <v>0</v>
      </c>
      <c r="I1135" s="31">
        <v>1</v>
      </c>
      <c r="J1135" s="31">
        <f t="shared" si="65"/>
        <v>1</v>
      </c>
      <c r="K1135" s="28">
        <v>212500</v>
      </c>
      <c r="L1135" s="29">
        <v>0.81</v>
      </c>
      <c r="M1135" s="31">
        <f t="shared" si="66"/>
        <v>172125</v>
      </c>
      <c r="N1135" s="28">
        <f t="shared" si="67"/>
        <v>40374.999999999985</v>
      </c>
    </row>
    <row r="1136" spans="1:15" x14ac:dyDescent="0.35">
      <c r="A1136">
        <v>719100</v>
      </c>
      <c r="B1136" t="s">
        <v>501</v>
      </c>
      <c r="C1136" t="s">
        <v>502</v>
      </c>
      <c r="D1136" t="s">
        <v>355</v>
      </c>
      <c r="E1136" s="30" t="s">
        <v>14</v>
      </c>
      <c r="F1136" s="31">
        <v>0</v>
      </c>
      <c r="G1136" s="31">
        <v>0</v>
      </c>
      <c r="H1136" s="31">
        <v>0</v>
      </c>
      <c r="I1136" s="31">
        <v>9</v>
      </c>
      <c r="J1136" s="31">
        <f t="shared" si="65"/>
        <v>9</v>
      </c>
      <c r="K1136" s="28">
        <v>248000</v>
      </c>
      <c r="L1136" s="29">
        <v>0.81</v>
      </c>
      <c r="M1136" s="31">
        <f t="shared" si="66"/>
        <v>200880</v>
      </c>
      <c r="N1136" s="28">
        <f t="shared" si="67"/>
        <v>47119.999999999985</v>
      </c>
    </row>
    <row r="1137" spans="1:15" x14ac:dyDescent="0.35">
      <c r="A1137">
        <v>202297</v>
      </c>
      <c r="B1137" t="s">
        <v>1341</v>
      </c>
      <c r="C1137" t="s">
        <v>354</v>
      </c>
      <c r="D1137" t="s">
        <v>355</v>
      </c>
      <c r="E1137" s="30" t="s">
        <v>14</v>
      </c>
      <c r="F1137" s="31">
        <v>0</v>
      </c>
      <c r="G1137" s="31">
        <v>0</v>
      </c>
      <c r="H1137" s="31">
        <v>0</v>
      </c>
      <c r="I1137" s="31">
        <v>204</v>
      </c>
      <c r="J1137" s="31">
        <f t="shared" si="65"/>
        <v>204</v>
      </c>
      <c r="K1137" s="28">
        <v>398000</v>
      </c>
      <c r="L1137" s="29">
        <v>0.81</v>
      </c>
      <c r="M1137" s="31">
        <f t="shared" si="66"/>
        <v>322380</v>
      </c>
      <c r="N1137" s="28">
        <f t="shared" si="67"/>
        <v>75619.999999999985</v>
      </c>
      <c r="O1137" s="28">
        <v>119400.00000000001</v>
      </c>
    </row>
    <row r="1138" spans="1:15" x14ac:dyDescent="0.35">
      <c r="A1138">
        <v>725561</v>
      </c>
      <c r="B1138" t="s">
        <v>359</v>
      </c>
      <c r="C1138" t="s">
        <v>354</v>
      </c>
      <c r="D1138" t="s">
        <v>355</v>
      </c>
      <c r="E1138" s="30" t="s">
        <v>14</v>
      </c>
      <c r="F1138" s="31">
        <v>0</v>
      </c>
      <c r="G1138" s="31">
        <v>0</v>
      </c>
      <c r="H1138" s="31">
        <v>0</v>
      </c>
      <c r="I1138" s="31">
        <v>141</v>
      </c>
      <c r="J1138" s="31">
        <f t="shared" si="65"/>
        <v>141</v>
      </c>
      <c r="K1138" s="28">
        <v>398000</v>
      </c>
      <c r="L1138" s="29">
        <v>0.45</v>
      </c>
      <c r="M1138" s="31">
        <f t="shared" si="66"/>
        <v>179100</v>
      </c>
      <c r="N1138" s="28">
        <f t="shared" si="67"/>
        <v>218900.00000000003</v>
      </c>
    </row>
    <row r="1139" spans="1:15" x14ac:dyDescent="0.35">
      <c r="A1139">
        <v>726471</v>
      </c>
      <c r="B1139" t="s">
        <v>1342</v>
      </c>
      <c r="C1139" t="s">
        <v>354</v>
      </c>
      <c r="D1139" t="s">
        <v>355</v>
      </c>
      <c r="E1139" s="30" t="s">
        <v>14</v>
      </c>
      <c r="F1139" s="31">
        <v>0</v>
      </c>
      <c r="G1139" s="31">
        <v>0</v>
      </c>
      <c r="H1139" s="31">
        <v>0</v>
      </c>
      <c r="I1139" s="31">
        <v>2</v>
      </c>
      <c r="J1139" s="31">
        <f t="shared" si="65"/>
        <v>2</v>
      </c>
      <c r="K1139" s="28">
        <v>698000</v>
      </c>
      <c r="L1139" s="29">
        <v>0.81</v>
      </c>
      <c r="M1139" s="31">
        <f t="shared" si="66"/>
        <v>565380</v>
      </c>
      <c r="N1139" s="28">
        <f t="shared" si="67"/>
        <v>132619.99999999997</v>
      </c>
      <c r="O1139" s="28">
        <v>209400.00000000003</v>
      </c>
    </row>
    <row r="1140" spans="1:15" x14ac:dyDescent="0.35">
      <c r="A1140">
        <v>726672</v>
      </c>
      <c r="B1140" t="s">
        <v>1343</v>
      </c>
      <c r="C1140" t="s">
        <v>354</v>
      </c>
      <c r="D1140" t="s">
        <v>355</v>
      </c>
      <c r="E1140" s="30" t="s">
        <v>14</v>
      </c>
      <c r="F1140" s="31">
        <v>0</v>
      </c>
      <c r="G1140" s="31">
        <v>0</v>
      </c>
      <c r="H1140" s="31">
        <v>0</v>
      </c>
      <c r="I1140" s="31">
        <v>6</v>
      </c>
      <c r="J1140" s="31">
        <f t="shared" si="65"/>
        <v>6</v>
      </c>
      <c r="K1140" s="28">
        <v>1048000</v>
      </c>
      <c r="L1140" s="29">
        <v>0.81</v>
      </c>
      <c r="M1140" s="31">
        <f t="shared" si="66"/>
        <v>848880</v>
      </c>
      <c r="N1140" s="28">
        <f t="shared" si="67"/>
        <v>199119.99999999994</v>
      </c>
      <c r="O1140" s="28">
        <v>314400.00000000006</v>
      </c>
    </row>
    <row r="1141" spans="1:15" x14ac:dyDescent="0.35">
      <c r="A1141">
        <v>726673</v>
      </c>
      <c r="B1141" t="s">
        <v>1344</v>
      </c>
      <c r="C1141" t="s">
        <v>354</v>
      </c>
      <c r="D1141" t="s">
        <v>355</v>
      </c>
      <c r="E1141" s="30" t="s">
        <v>14</v>
      </c>
      <c r="F1141" s="31">
        <v>0</v>
      </c>
      <c r="G1141" s="31">
        <v>0</v>
      </c>
      <c r="H1141" s="31">
        <v>0</v>
      </c>
      <c r="I1141" s="31">
        <v>42</v>
      </c>
      <c r="J1141" s="31">
        <f t="shared" si="65"/>
        <v>42</v>
      </c>
      <c r="K1141" s="28">
        <v>898000</v>
      </c>
      <c r="L1141" s="29">
        <v>0.81</v>
      </c>
      <c r="M1141" s="31">
        <f t="shared" si="66"/>
        <v>727380</v>
      </c>
      <c r="N1141" s="28">
        <f t="shared" si="67"/>
        <v>170619.99999999994</v>
      </c>
      <c r="O1141" s="28">
        <v>269400.00000000006</v>
      </c>
    </row>
    <row r="1142" spans="1:15" x14ac:dyDescent="0.35">
      <c r="A1142">
        <v>727535</v>
      </c>
      <c r="B1142" t="s">
        <v>1345</v>
      </c>
      <c r="C1142" t="s">
        <v>354</v>
      </c>
      <c r="D1142" t="s">
        <v>355</v>
      </c>
      <c r="E1142" s="30" t="s">
        <v>14</v>
      </c>
      <c r="F1142" s="31">
        <v>0</v>
      </c>
      <c r="G1142" s="31">
        <v>0</v>
      </c>
      <c r="H1142" s="31">
        <v>0</v>
      </c>
      <c r="I1142" s="31">
        <v>2</v>
      </c>
      <c r="J1142" s="31">
        <f t="shared" si="65"/>
        <v>2</v>
      </c>
      <c r="K1142" s="28">
        <v>1048000</v>
      </c>
      <c r="L1142" s="29">
        <v>0.81</v>
      </c>
      <c r="M1142" s="31">
        <f t="shared" si="66"/>
        <v>848880</v>
      </c>
      <c r="N1142" s="28">
        <f t="shared" si="67"/>
        <v>199119.99999999994</v>
      </c>
      <c r="O1142" s="28">
        <v>314400.00000000006</v>
      </c>
    </row>
    <row r="1143" spans="1:15" x14ac:dyDescent="0.35">
      <c r="A1143">
        <v>727536</v>
      </c>
      <c r="B1143" t="s">
        <v>1346</v>
      </c>
      <c r="C1143" t="s">
        <v>354</v>
      </c>
      <c r="D1143" t="s">
        <v>355</v>
      </c>
      <c r="E1143" s="30" t="s">
        <v>14</v>
      </c>
      <c r="F1143" s="31">
        <v>0</v>
      </c>
      <c r="G1143" s="31">
        <v>0</v>
      </c>
      <c r="H1143" s="31">
        <v>0</v>
      </c>
      <c r="I1143" s="31">
        <v>24</v>
      </c>
      <c r="J1143" s="31">
        <f t="shared" si="65"/>
        <v>24</v>
      </c>
      <c r="K1143" s="28">
        <v>1048000</v>
      </c>
      <c r="L1143" s="29">
        <v>0.81</v>
      </c>
      <c r="M1143" s="31">
        <f t="shared" si="66"/>
        <v>848880</v>
      </c>
      <c r="N1143" s="28">
        <f t="shared" si="67"/>
        <v>199119.99999999994</v>
      </c>
      <c r="O1143" s="28">
        <v>314400.00000000006</v>
      </c>
    </row>
    <row r="1144" spans="1:15" x14ac:dyDescent="0.35">
      <c r="A1144">
        <v>729175</v>
      </c>
      <c r="B1144" t="s">
        <v>357</v>
      </c>
      <c r="C1144" t="s">
        <v>354</v>
      </c>
      <c r="D1144" t="s">
        <v>355</v>
      </c>
      <c r="E1144" s="30" t="s">
        <v>14</v>
      </c>
      <c r="F1144" s="31">
        <v>0</v>
      </c>
      <c r="G1144" s="31">
        <v>0</v>
      </c>
      <c r="H1144" s="31">
        <v>0</v>
      </c>
      <c r="I1144" s="31">
        <v>358</v>
      </c>
      <c r="J1144" s="31">
        <f t="shared" si="65"/>
        <v>358</v>
      </c>
      <c r="K1144" s="28">
        <v>448000</v>
      </c>
      <c r="L1144" s="29">
        <v>0.45</v>
      </c>
      <c r="M1144" s="31">
        <f t="shared" si="66"/>
        <v>201600</v>
      </c>
      <c r="N1144" s="28">
        <f t="shared" si="67"/>
        <v>246400.00000000003</v>
      </c>
    </row>
    <row r="1145" spans="1:15" x14ac:dyDescent="0.35">
      <c r="A1145">
        <v>729277</v>
      </c>
      <c r="B1145" t="s">
        <v>2080</v>
      </c>
      <c r="C1145" t="s">
        <v>354</v>
      </c>
      <c r="D1145" t="s">
        <v>355</v>
      </c>
      <c r="E1145" s="30" t="s">
        <v>14</v>
      </c>
      <c r="F1145" s="31">
        <v>0</v>
      </c>
      <c r="G1145" s="31">
        <v>0</v>
      </c>
      <c r="H1145" s="31">
        <v>0</v>
      </c>
      <c r="I1145" s="31">
        <v>3</v>
      </c>
      <c r="J1145" s="31">
        <f t="shared" si="65"/>
        <v>3</v>
      </c>
      <c r="K1145" s="28">
        <v>398000</v>
      </c>
      <c r="L1145" s="29">
        <v>0.17</v>
      </c>
      <c r="M1145" s="31">
        <f t="shared" si="66"/>
        <v>67660</v>
      </c>
      <c r="N1145" s="28">
        <f t="shared" si="67"/>
        <v>330340</v>
      </c>
    </row>
    <row r="1146" spans="1:15" x14ac:dyDescent="0.35">
      <c r="A1146">
        <v>729432</v>
      </c>
      <c r="B1146" t="s">
        <v>2081</v>
      </c>
      <c r="C1146" t="s">
        <v>354</v>
      </c>
      <c r="D1146" t="s">
        <v>355</v>
      </c>
      <c r="E1146" s="30" t="s">
        <v>14</v>
      </c>
      <c r="F1146" s="31">
        <v>0</v>
      </c>
      <c r="G1146" s="31">
        <v>0</v>
      </c>
      <c r="H1146" s="31">
        <v>0</v>
      </c>
      <c r="I1146" s="31">
        <v>1</v>
      </c>
      <c r="J1146" s="31">
        <f t="shared" si="65"/>
        <v>1</v>
      </c>
      <c r="K1146" s="28">
        <v>398000</v>
      </c>
      <c r="L1146" s="29">
        <v>0.81</v>
      </c>
      <c r="M1146" s="31">
        <f t="shared" si="66"/>
        <v>322380</v>
      </c>
      <c r="N1146" s="28">
        <f t="shared" si="67"/>
        <v>75619.999999999985</v>
      </c>
    </row>
    <row r="1147" spans="1:15" x14ac:dyDescent="0.35">
      <c r="A1147">
        <v>731229</v>
      </c>
      <c r="B1147" t="s">
        <v>358</v>
      </c>
      <c r="C1147" t="s">
        <v>354</v>
      </c>
      <c r="D1147" t="s">
        <v>355</v>
      </c>
      <c r="E1147" s="30" t="s">
        <v>14</v>
      </c>
      <c r="F1147" s="31">
        <v>0</v>
      </c>
      <c r="G1147" s="31">
        <v>0</v>
      </c>
      <c r="H1147" s="31">
        <v>0</v>
      </c>
      <c r="I1147" s="31">
        <v>419</v>
      </c>
      <c r="J1147" s="31">
        <f t="shared" si="65"/>
        <v>419</v>
      </c>
      <c r="K1147" s="28">
        <v>798000</v>
      </c>
      <c r="L1147" s="29">
        <v>0.45</v>
      </c>
      <c r="M1147" s="31">
        <f t="shared" si="66"/>
        <v>359100</v>
      </c>
      <c r="N1147" s="28">
        <f t="shared" si="67"/>
        <v>438900.00000000006</v>
      </c>
    </row>
    <row r="1148" spans="1:15" x14ac:dyDescent="0.35">
      <c r="A1148">
        <v>731391</v>
      </c>
      <c r="B1148" t="s">
        <v>2082</v>
      </c>
      <c r="C1148" t="s">
        <v>354</v>
      </c>
      <c r="D1148" t="s">
        <v>355</v>
      </c>
      <c r="E1148" s="30" t="s">
        <v>14</v>
      </c>
      <c r="F1148" s="31">
        <v>0</v>
      </c>
      <c r="G1148" s="31">
        <v>0</v>
      </c>
      <c r="H1148" s="31">
        <v>0</v>
      </c>
      <c r="I1148" s="31">
        <v>2</v>
      </c>
      <c r="J1148" s="31">
        <f t="shared" si="65"/>
        <v>2</v>
      </c>
      <c r="K1148" s="28">
        <v>1198000</v>
      </c>
      <c r="L1148" s="29">
        <v>0.45</v>
      </c>
      <c r="M1148" s="31">
        <f t="shared" si="66"/>
        <v>539100</v>
      </c>
      <c r="N1148" s="28">
        <f t="shared" si="67"/>
        <v>658900</v>
      </c>
    </row>
    <row r="1149" spans="1:15" x14ac:dyDescent="0.35">
      <c r="A1149">
        <v>732953</v>
      </c>
      <c r="B1149" t="s">
        <v>2083</v>
      </c>
      <c r="C1149" t="s">
        <v>354</v>
      </c>
      <c r="D1149" t="s">
        <v>355</v>
      </c>
      <c r="E1149" s="30" t="s">
        <v>14</v>
      </c>
      <c r="F1149" s="31">
        <v>0</v>
      </c>
      <c r="G1149" s="31">
        <v>0</v>
      </c>
      <c r="H1149" s="31">
        <v>0</v>
      </c>
      <c r="I1149" s="31">
        <v>27</v>
      </c>
      <c r="J1149" s="31">
        <f t="shared" si="65"/>
        <v>27</v>
      </c>
      <c r="K1149" s="28">
        <v>398000</v>
      </c>
      <c r="L1149" s="29">
        <v>0.17</v>
      </c>
      <c r="M1149" s="31">
        <f t="shared" si="66"/>
        <v>67660</v>
      </c>
      <c r="N1149" s="28">
        <f t="shared" si="67"/>
        <v>330340</v>
      </c>
    </row>
    <row r="1150" spans="1:15" x14ac:dyDescent="0.35">
      <c r="A1150">
        <v>732954</v>
      </c>
      <c r="B1150" t="s">
        <v>356</v>
      </c>
      <c r="C1150" t="s">
        <v>354</v>
      </c>
      <c r="D1150" t="s">
        <v>355</v>
      </c>
      <c r="E1150" s="30" t="s">
        <v>14</v>
      </c>
      <c r="F1150" s="31">
        <v>166</v>
      </c>
      <c r="G1150" s="31">
        <v>0</v>
      </c>
      <c r="H1150" s="31">
        <v>5</v>
      </c>
      <c r="I1150" s="31">
        <v>86</v>
      </c>
      <c r="J1150" s="31">
        <f t="shared" si="65"/>
        <v>257</v>
      </c>
      <c r="K1150" s="28">
        <v>398000</v>
      </c>
      <c r="L1150" s="29">
        <v>0.17</v>
      </c>
      <c r="M1150" s="31">
        <f t="shared" si="66"/>
        <v>67660</v>
      </c>
      <c r="N1150" s="28">
        <f t="shared" si="67"/>
        <v>330340</v>
      </c>
    </row>
    <row r="1151" spans="1:15" x14ac:dyDescent="0.35">
      <c r="A1151">
        <v>732976</v>
      </c>
      <c r="B1151" t="s">
        <v>2084</v>
      </c>
      <c r="C1151" t="s">
        <v>354</v>
      </c>
      <c r="D1151" t="s">
        <v>355</v>
      </c>
      <c r="E1151" s="30" t="s">
        <v>14</v>
      </c>
      <c r="F1151" s="31">
        <v>0</v>
      </c>
      <c r="G1151" s="31">
        <v>0</v>
      </c>
      <c r="H1151" s="31">
        <v>0</v>
      </c>
      <c r="I1151" s="31">
        <v>11</v>
      </c>
      <c r="J1151" s="31">
        <f t="shared" si="65"/>
        <v>11</v>
      </c>
      <c r="K1151" s="28">
        <v>398000</v>
      </c>
      <c r="L1151" s="29">
        <v>0.17</v>
      </c>
      <c r="M1151" s="31">
        <f t="shared" si="66"/>
        <v>67660</v>
      </c>
      <c r="N1151" s="28">
        <f t="shared" si="67"/>
        <v>330340</v>
      </c>
    </row>
    <row r="1152" spans="1:15" x14ac:dyDescent="0.35">
      <c r="A1152">
        <v>732977</v>
      </c>
      <c r="B1152" t="s">
        <v>361</v>
      </c>
      <c r="C1152" t="s">
        <v>354</v>
      </c>
      <c r="D1152" t="s">
        <v>355</v>
      </c>
      <c r="E1152" s="30" t="s">
        <v>14</v>
      </c>
      <c r="F1152" s="31">
        <v>0</v>
      </c>
      <c r="G1152" s="31">
        <v>0</v>
      </c>
      <c r="H1152" s="31">
        <v>0</v>
      </c>
      <c r="I1152" s="31">
        <v>101</v>
      </c>
      <c r="J1152" s="31">
        <f t="shared" si="65"/>
        <v>101</v>
      </c>
      <c r="K1152" s="28">
        <v>398000</v>
      </c>
      <c r="L1152" s="29">
        <v>0.17</v>
      </c>
      <c r="M1152" s="31">
        <f t="shared" si="66"/>
        <v>67660</v>
      </c>
      <c r="N1152" s="28">
        <f t="shared" si="67"/>
        <v>330340</v>
      </c>
    </row>
    <row r="1153" spans="1:14" x14ac:dyDescent="0.35">
      <c r="A1153">
        <v>732978</v>
      </c>
      <c r="B1153" t="s">
        <v>2085</v>
      </c>
      <c r="C1153" t="s">
        <v>354</v>
      </c>
      <c r="D1153" t="s">
        <v>355</v>
      </c>
      <c r="E1153" s="30" t="s">
        <v>14</v>
      </c>
      <c r="F1153" s="31">
        <v>0</v>
      </c>
      <c r="G1153" s="31">
        <v>0</v>
      </c>
      <c r="H1153" s="31">
        <v>0</v>
      </c>
      <c r="I1153" s="31">
        <v>23</v>
      </c>
      <c r="J1153" s="31">
        <f t="shared" si="65"/>
        <v>23</v>
      </c>
      <c r="K1153" s="28">
        <v>398000</v>
      </c>
      <c r="L1153" s="29">
        <v>0.17</v>
      </c>
      <c r="M1153" s="31">
        <f t="shared" si="66"/>
        <v>67660</v>
      </c>
      <c r="N1153" s="28">
        <f t="shared" si="67"/>
        <v>330340</v>
      </c>
    </row>
    <row r="1154" spans="1:14" x14ac:dyDescent="0.35">
      <c r="A1154">
        <v>733068</v>
      </c>
      <c r="B1154" t="s">
        <v>360</v>
      </c>
      <c r="C1154" t="s">
        <v>354</v>
      </c>
      <c r="D1154" t="s">
        <v>355</v>
      </c>
      <c r="E1154" s="30" t="s">
        <v>14</v>
      </c>
      <c r="F1154" s="31">
        <v>0</v>
      </c>
      <c r="G1154" s="31">
        <v>0</v>
      </c>
      <c r="H1154" s="31">
        <v>1</v>
      </c>
      <c r="I1154" s="31">
        <v>52</v>
      </c>
      <c r="J1154" s="31">
        <f t="shared" si="65"/>
        <v>53</v>
      </c>
      <c r="K1154" s="28">
        <v>398000</v>
      </c>
      <c r="L1154" s="29">
        <v>0.17</v>
      </c>
      <c r="M1154" s="31">
        <f t="shared" si="66"/>
        <v>67660</v>
      </c>
      <c r="N1154" s="28">
        <f t="shared" si="67"/>
        <v>330340</v>
      </c>
    </row>
    <row r="1155" spans="1:14" x14ac:dyDescent="0.35">
      <c r="A1155">
        <v>733276</v>
      </c>
      <c r="B1155" t="s">
        <v>353</v>
      </c>
      <c r="C1155" t="s">
        <v>354</v>
      </c>
      <c r="D1155" t="s">
        <v>355</v>
      </c>
      <c r="E1155" s="30" t="s">
        <v>14</v>
      </c>
      <c r="F1155" s="31">
        <v>545</v>
      </c>
      <c r="G1155" s="31">
        <v>0</v>
      </c>
      <c r="H1155" s="31">
        <v>50</v>
      </c>
      <c r="I1155" s="31">
        <v>56</v>
      </c>
      <c r="J1155" s="31">
        <f t="shared" si="65"/>
        <v>651</v>
      </c>
      <c r="K1155" s="28">
        <v>398000</v>
      </c>
      <c r="L1155" s="29">
        <v>0.17</v>
      </c>
      <c r="M1155" s="31">
        <f t="shared" si="66"/>
        <v>67660</v>
      </c>
      <c r="N1155" s="28">
        <f t="shared" ref="N1155:N1199" si="68">K1155*(1-L1155)</f>
        <v>330340</v>
      </c>
    </row>
    <row r="1156" spans="1:14" x14ac:dyDescent="0.35">
      <c r="A1156">
        <v>733482</v>
      </c>
      <c r="B1156" t="s">
        <v>2086</v>
      </c>
      <c r="C1156" t="s">
        <v>354</v>
      </c>
      <c r="D1156" t="s">
        <v>355</v>
      </c>
      <c r="E1156" s="30" t="s">
        <v>14</v>
      </c>
      <c r="F1156" s="31">
        <v>0</v>
      </c>
      <c r="G1156" s="31">
        <v>0</v>
      </c>
      <c r="H1156" s="31">
        <v>0</v>
      </c>
      <c r="I1156" s="31">
        <v>21</v>
      </c>
      <c r="J1156" s="31">
        <f t="shared" ref="J1156:J1199" si="69">SUM(F1156:I1156)</f>
        <v>21</v>
      </c>
      <c r="K1156" s="28">
        <v>1048000</v>
      </c>
      <c r="L1156" s="29">
        <v>0.17</v>
      </c>
      <c r="M1156" s="31">
        <f t="shared" ref="M1156:M1199" si="70">K1156*L1156</f>
        <v>178160</v>
      </c>
      <c r="N1156" s="28">
        <f t="shared" si="68"/>
        <v>869840</v>
      </c>
    </row>
    <row r="1157" spans="1:14" x14ac:dyDescent="0.35">
      <c r="A1157">
        <v>733527</v>
      </c>
      <c r="B1157" t="s">
        <v>2087</v>
      </c>
      <c r="C1157" t="s">
        <v>354</v>
      </c>
      <c r="D1157" t="s">
        <v>355</v>
      </c>
      <c r="E1157" s="30" t="s">
        <v>14</v>
      </c>
      <c r="F1157" s="31">
        <v>0</v>
      </c>
      <c r="G1157" s="31">
        <v>0</v>
      </c>
      <c r="H1157" s="31">
        <v>0</v>
      </c>
      <c r="I1157" s="31">
        <v>5</v>
      </c>
      <c r="J1157" s="31">
        <f t="shared" si="69"/>
        <v>5</v>
      </c>
      <c r="K1157" s="28">
        <v>198000</v>
      </c>
      <c r="L1157" s="29">
        <v>0.45</v>
      </c>
      <c r="M1157" s="31">
        <f t="shared" si="70"/>
        <v>89100</v>
      </c>
      <c r="N1157" s="28">
        <f t="shared" si="68"/>
        <v>108900.00000000001</v>
      </c>
    </row>
    <row r="1158" spans="1:14" x14ac:dyDescent="0.35">
      <c r="A1158">
        <v>735422</v>
      </c>
      <c r="B1158" t="s">
        <v>2088</v>
      </c>
      <c r="C1158" t="s">
        <v>354</v>
      </c>
      <c r="D1158" t="s">
        <v>355</v>
      </c>
      <c r="E1158" s="30" t="s">
        <v>14</v>
      </c>
      <c r="F1158" s="31">
        <v>0</v>
      </c>
      <c r="G1158" s="31">
        <v>0</v>
      </c>
      <c r="H1158" s="31">
        <v>0</v>
      </c>
      <c r="I1158" s="31">
        <v>2</v>
      </c>
      <c r="J1158" s="31">
        <f t="shared" si="69"/>
        <v>2</v>
      </c>
      <c r="K1158" s="28">
        <v>598000</v>
      </c>
      <c r="L1158" s="29">
        <v>0.17</v>
      </c>
      <c r="M1158" s="31">
        <f t="shared" si="70"/>
        <v>101660.00000000001</v>
      </c>
      <c r="N1158" s="28">
        <f t="shared" si="68"/>
        <v>496340</v>
      </c>
    </row>
    <row r="1159" spans="1:14" x14ac:dyDescent="0.35">
      <c r="A1159">
        <v>735548</v>
      </c>
      <c r="B1159" t="s">
        <v>2089</v>
      </c>
      <c r="C1159" t="s">
        <v>354</v>
      </c>
      <c r="D1159" t="s">
        <v>355</v>
      </c>
      <c r="E1159" s="30" t="s">
        <v>14</v>
      </c>
      <c r="F1159" s="31">
        <v>0</v>
      </c>
      <c r="G1159" s="31">
        <v>0</v>
      </c>
      <c r="H1159" s="31">
        <v>3</v>
      </c>
      <c r="I1159" s="31">
        <v>10</v>
      </c>
      <c r="J1159" s="31">
        <f t="shared" si="69"/>
        <v>13</v>
      </c>
      <c r="K1159" s="28">
        <v>1048000</v>
      </c>
      <c r="L1159" s="29">
        <v>0.45</v>
      </c>
      <c r="M1159" s="31">
        <f t="shared" si="70"/>
        <v>471600</v>
      </c>
      <c r="N1159" s="28">
        <f t="shared" si="68"/>
        <v>576400</v>
      </c>
    </row>
    <row r="1160" spans="1:14" x14ac:dyDescent="0.35">
      <c r="A1160">
        <v>735709</v>
      </c>
      <c r="B1160" t="s">
        <v>2090</v>
      </c>
      <c r="C1160" t="s">
        <v>354</v>
      </c>
      <c r="D1160" t="s">
        <v>355</v>
      </c>
      <c r="E1160" s="30" t="s">
        <v>14</v>
      </c>
      <c r="F1160" s="31">
        <v>0</v>
      </c>
      <c r="G1160" s="31">
        <v>0</v>
      </c>
      <c r="H1160" s="31">
        <v>0</v>
      </c>
      <c r="I1160" s="31">
        <v>13</v>
      </c>
      <c r="J1160" s="31">
        <f t="shared" si="69"/>
        <v>13</v>
      </c>
      <c r="K1160" s="28">
        <v>598000</v>
      </c>
      <c r="L1160" s="29">
        <v>0.17</v>
      </c>
      <c r="M1160" s="31">
        <f t="shared" si="70"/>
        <v>101660.00000000001</v>
      </c>
      <c r="N1160" s="28">
        <f t="shared" si="68"/>
        <v>496340</v>
      </c>
    </row>
    <row r="1161" spans="1:14" x14ac:dyDescent="0.35">
      <c r="A1161">
        <v>737942</v>
      </c>
      <c r="B1161" t="s">
        <v>2091</v>
      </c>
      <c r="C1161" t="s">
        <v>354</v>
      </c>
      <c r="D1161" t="s">
        <v>355</v>
      </c>
      <c r="E1161" s="30" t="s">
        <v>14</v>
      </c>
      <c r="F1161" s="31">
        <v>0</v>
      </c>
      <c r="G1161" s="31">
        <v>0</v>
      </c>
      <c r="H1161" s="31">
        <v>2</v>
      </c>
      <c r="I1161" s="31">
        <v>2</v>
      </c>
      <c r="J1161" s="31">
        <f t="shared" si="69"/>
        <v>4</v>
      </c>
      <c r="K1161" s="28">
        <v>1048000</v>
      </c>
      <c r="L1161" s="29">
        <v>0.45</v>
      </c>
      <c r="M1161" s="31">
        <f t="shared" si="70"/>
        <v>471600</v>
      </c>
      <c r="N1161" s="28">
        <f t="shared" si="68"/>
        <v>576400</v>
      </c>
    </row>
    <row r="1162" spans="1:14" x14ac:dyDescent="0.35">
      <c r="A1162">
        <v>738535</v>
      </c>
      <c r="B1162" t="s">
        <v>447</v>
      </c>
      <c r="C1162" t="s">
        <v>354</v>
      </c>
      <c r="D1162" t="s">
        <v>355</v>
      </c>
      <c r="E1162" s="30" t="s">
        <v>14</v>
      </c>
      <c r="F1162" s="31">
        <v>0</v>
      </c>
      <c r="G1162" s="31">
        <v>0</v>
      </c>
      <c r="H1162" s="31">
        <v>0</v>
      </c>
      <c r="I1162" s="31">
        <v>7</v>
      </c>
      <c r="J1162" s="31">
        <f t="shared" si="69"/>
        <v>7</v>
      </c>
      <c r="K1162" s="28">
        <v>1048000</v>
      </c>
      <c r="L1162" s="29">
        <v>0.17</v>
      </c>
      <c r="M1162" s="31">
        <f t="shared" si="70"/>
        <v>178160</v>
      </c>
      <c r="N1162" s="28">
        <f t="shared" si="68"/>
        <v>869840</v>
      </c>
    </row>
    <row r="1163" spans="1:14" x14ac:dyDescent="0.35">
      <c r="A1163">
        <v>737837</v>
      </c>
      <c r="B1163" t="s">
        <v>2092</v>
      </c>
      <c r="C1163" t="s">
        <v>365</v>
      </c>
      <c r="D1163" t="s">
        <v>1351</v>
      </c>
      <c r="E1163" s="30" t="s">
        <v>14</v>
      </c>
      <c r="F1163" s="31">
        <v>0</v>
      </c>
      <c r="G1163" s="31">
        <v>0</v>
      </c>
      <c r="H1163" s="31">
        <v>0</v>
      </c>
      <c r="I1163" s="31">
        <v>1</v>
      </c>
      <c r="J1163" s="31">
        <f t="shared" si="69"/>
        <v>1</v>
      </c>
      <c r="K1163" s="28">
        <v>178000</v>
      </c>
      <c r="L1163" s="29">
        <v>0.45</v>
      </c>
      <c r="M1163" s="31">
        <f t="shared" si="70"/>
        <v>80100</v>
      </c>
      <c r="N1163" s="28">
        <f t="shared" si="68"/>
        <v>97900.000000000015</v>
      </c>
    </row>
    <row r="1164" spans="1:14" x14ac:dyDescent="0.35">
      <c r="A1164">
        <v>738548</v>
      </c>
      <c r="B1164" t="s">
        <v>2093</v>
      </c>
      <c r="C1164" t="s">
        <v>365</v>
      </c>
      <c r="D1164" t="s">
        <v>1351</v>
      </c>
      <c r="E1164" s="30" t="s">
        <v>14</v>
      </c>
      <c r="F1164" s="31">
        <v>0</v>
      </c>
      <c r="G1164" s="31">
        <v>0</v>
      </c>
      <c r="H1164" s="31">
        <v>0</v>
      </c>
      <c r="I1164" s="31">
        <v>10</v>
      </c>
      <c r="J1164" s="31">
        <f t="shared" si="69"/>
        <v>10</v>
      </c>
      <c r="K1164" s="28">
        <v>59000</v>
      </c>
      <c r="L1164" s="29">
        <v>0.45</v>
      </c>
      <c r="M1164" s="31">
        <f t="shared" si="70"/>
        <v>26550</v>
      </c>
      <c r="N1164" s="28">
        <f t="shared" si="68"/>
        <v>32450.000000000004</v>
      </c>
    </row>
    <row r="1165" spans="1:14" x14ac:dyDescent="0.35">
      <c r="A1165">
        <v>731352</v>
      </c>
      <c r="B1165" t="s">
        <v>2094</v>
      </c>
      <c r="C1165" t="s">
        <v>391</v>
      </c>
      <c r="D1165" t="s">
        <v>1351</v>
      </c>
      <c r="E1165" s="30" t="s">
        <v>14</v>
      </c>
      <c r="F1165" s="31">
        <v>0</v>
      </c>
      <c r="G1165" s="31">
        <v>0</v>
      </c>
      <c r="H1165" s="31">
        <v>0</v>
      </c>
      <c r="I1165" s="31">
        <v>2</v>
      </c>
      <c r="J1165" s="31">
        <f t="shared" si="69"/>
        <v>2</v>
      </c>
      <c r="K1165" s="28">
        <v>59000</v>
      </c>
      <c r="L1165" s="29">
        <v>0.81</v>
      </c>
      <c r="M1165" s="31">
        <f t="shared" si="70"/>
        <v>47790</v>
      </c>
      <c r="N1165" s="28">
        <f t="shared" si="68"/>
        <v>11209.999999999996</v>
      </c>
    </row>
    <row r="1166" spans="1:14" x14ac:dyDescent="0.35">
      <c r="A1166">
        <v>735864</v>
      </c>
      <c r="B1166" t="s">
        <v>2095</v>
      </c>
      <c r="C1166" t="s">
        <v>391</v>
      </c>
      <c r="D1166" t="s">
        <v>1351</v>
      </c>
      <c r="E1166" s="30" t="s">
        <v>14</v>
      </c>
      <c r="F1166" s="31">
        <v>0</v>
      </c>
      <c r="G1166" s="31">
        <v>0</v>
      </c>
      <c r="H1166" s="31">
        <v>0</v>
      </c>
      <c r="I1166" s="31">
        <v>13</v>
      </c>
      <c r="J1166" s="31">
        <f t="shared" si="69"/>
        <v>13</v>
      </c>
      <c r="K1166" s="28">
        <v>248000</v>
      </c>
      <c r="L1166" s="29">
        <v>0.81</v>
      </c>
      <c r="M1166" s="31">
        <f t="shared" si="70"/>
        <v>200880</v>
      </c>
      <c r="N1166" s="28">
        <f t="shared" si="68"/>
        <v>47119.999999999985</v>
      </c>
    </row>
    <row r="1167" spans="1:14" x14ac:dyDescent="0.35">
      <c r="A1167">
        <v>735865</v>
      </c>
      <c r="B1167" t="s">
        <v>2096</v>
      </c>
      <c r="C1167" t="s">
        <v>391</v>
      </c>
      <c r="D1167" t="s">
        <v>1351</v>
      </c>
      <c r="E1167" s="30" t="s">
        <v>14</v>
      </c>
      <c r="F1167" s="31">
        <v>0</v>
      </c>
      <c r="G1167" s="31">
        <v>0</v>
      </c>
      <c r="H1167" s="31">
        <v>0</v>
      </c>
      <c r="I1167" s="31">
        <v>8</v>
      </c>
      <c r="J1167" s="31">
        <f t="shared" si="69"/>
        <v>8</v>
      </c>
      <c r="K1167" s="28">
        <v>228000</v>
      </c>
      <c r="L1167" s="29">
        <v>0.81</v>
      </c>
      <c r="M1167" s="31">
        <f t="shared" si="70"/>
        <v>184680</v>
      </c>
      <c r="N1167" s="28">
        <f t="shared" si="68"/>
        <v>43319.999999999985</v>
      </c>
    </row>
    <row r="1168" spans="1:14" x14ac:dyDescent="0.35">
      <c r="A1168">
        <v>735866</v>
      </c>
      <c r="B1168" t="s">
        <v>2097</v>
      </c>
      <c r="C1168" t="s">
        <v>391</v>
      </c>
      <c r="D1168" t="s">
        <v>1351</v>
      </c>
      <c r="E1168" s="30" t="s">
        <v>14</v>
      </c>
      <c r="F1168" s="31">
        <v>0</v>
      </c>
      <c r="G1168" s="31">
        <v>0</v>
      </c>
      <c r="H1168" s="31">
        <v>0</v>
      </c>
      <c r="I1168" s="31">
        <v>17</v>
      </c>
      <c r="J1168" s="31">
        <f t="shared" si="69"/>
        <v>17</v>
      </c>
      <c r="K1168" s="28">
        <v>198000</v>
      </c>
      <c r="L1168" s="29">
        <v>0.81</v>
      </c>
      <c r="M1168" s="31">
        <f t="shared" si="70"/>
        <v>160380</v>
      </c>
      <c r="N1168" s="28">
        <f t="shared" si="68"/>
        <v>37619.999999999993</v>
      </c>
    </row>
    <row r="1169" spans="1:15" x14ac:dyDescent="0.35">
      <c r="A1169">
        <v>735867</v>
      </c>
      <c r="B1169" t="s">
        <v>2098</v>
      </c>
      <c r="C1169" t="s">
        <v>391</v>
      </c>
      <c r="D1169" t="s">
        <v>1351</v>
      </c>
      <c r="E1169" s="30" t="s">
        <v>14</v>
      </c>
      <c r="F1169" s="31">
        <v>0</v>
      </c>
      <c r="G1169" s="31">
        <v>0</v>
      </c>
      <c r="H1169" s="31">
        <v>0</v>
      </c>
      <c r="I1169" s="31">
        <v>15</v>
      </c>
      <c r="J1169" s="31">
        <f t="shared" si="69"/>
        <v>15</v>
      </c>
      <c r="K1169" s="28">
        <v>128000</v>
      </c>
      <c r="L1169" s="29">
        <v>0.81</v>
      </c>
      <c r="M1169" s="31">
        <f t="shared" si="70"/>
        <v>103680</v>
      </c>
      <c r="N1169" s="28">
        <f t="shared" si="68"/>
        <v>24319.999999999993</v>
      </c>
    </row>
    <row r="1170" spans="1:15" x14ac:dyDescent="0.35">
      <c r="A1170">
        <v>735868</v>
      </c>
      <c r="B1170" t="s">
        <v>2099</v>
      </c>
      <c r="C1170" t="s">
        <v>391</v>
      </c>
      <c r="D1170" t="s">
        <v>1351</v>
      </c>
      <c r="E1170" s="30" t="s">
        <v>14</v>
      </c>
      <c r="F1170" s="31">
        <v>0</v>
      </c>
      <c r="G1170" s="31">
        <v>0</v>
      </c>
      <c r="H1170" s="31">
        <v>3</v>
      </c>
      <c r="I1170" s="31">
        <v>18</v>
      </c>
      <c r="J1170" s="31">
        <f t="shared" si="69"/>
        <v>21</v>
      </c>
      <c r="K1170" s="28">
        <v>79000</v>
      </c>
      <c r="L1170" s="29">
        <v>0.81</v>
      </c>
      <c r="M1170" s="31">
        <f t="shared" si="70"/>
        <v>63990.000000000007</v>
      </c>
      <c r="N1170" s="28">
        <f t="shared" si="68"/>
        <v>15009.999999999996</v>
      </c>
    </row>
    <row r="1171" spans="1:15" x14ac:dyDescent="0.35">
      <c r="A1171">
        <v>735869</v>
      </c>
      <c r="B1171" t="s">
        <v>2100</v>
      </c>
      <c r="C1171" t="s">
        <v>391</v>
      </c>
      <c r="D1171" t="s">
        <v>1351</v>
      </c>
      <c r="E1171" s="30" t="s">
        <v>14</v>
      </c>
      <c r="F1171" s="31">
        <v>0</v>
      </c>
      <c r="G1171" s="31">
        <v>0</v>
      </c>
      <c r="H1171" s="31">
        <v>0</v>
      </c>
      <c r="I1171" s="31">
        <v>3</v>
      </c>
      <c r="J1171" s="31">
        <f t="shared" si="69"/>
        <v>3</v>
      </c>
      <c r="K1171" s="28">
        <v>228000</v>
      </c>
      <c r="L1171" s="29">
        <v>0.81</v>
      </c>
      <c r="M1171" s="31">
        <f t="shared" si="70"/>
        <v>184680</v>
      </c>
      <c r="N1171" s="28">
        <f t="shared" si="68"/>
        <v>43319.999999999985</v>
      </c>
    </row>
    <row r="1172" spans="1:15" x14ac:dyDescent="0.35">
      <c r="A1172">
        <v>728661</v>
      </c>
      <c r="B1172" t="s">
        <v>2101</v>
      </c>
      <c r="C1172" t="s">
        <v>2010</v>
      </c>
      <c r="D1172" t="s">
        <v>1351</v>
      </c>
      <c r="E1172" s="30" t="s">
        <v>14</v>
      </c>
      <c r="F1172" s="31">
        <v>0</v>
      </c>
      <c r="G1172" s="31">
        <v>0</v>
      </c>
      <c r="H1172" s="31">
        <v>0</v>
      </c>
      <c r="I1172" s="31">
        <v>1</v>
      </c>
      <c r="J1172" s="31">
        <f t="shared" si="69"/>
        <v>1</v>
      </c>
      <c r="K1172" s="28">
        <v>198000</v>
      </c>
      <c r="L1172" s="29">
        <v>0.81</v>
      </c>
      <c r="M1172" s="31">
        <f t="shared" si="70"/>
        <v>160380</v>
      </c>
      <c r="N1172" s="28">
        <f t="shared" si="68"/>
        <v>37619.999999999993</v>
      </c>
    </row>
    <row r="1173" spans="1:15" x14ac:dyDescent="0.35">
      <c r="A1173">
        <v>734148</v>
      </c>
      <c r="B1173" t="s">
        <v>2102</v>
      </c>
      <c r="C1173" t="s">
        <v>2010</v>
      </c>
      <c r="D1173" t="s">
        <v>1351</v>
      </c>
      <c r="E1173" s="30" t="s">
        <v>14</v>
      </c>
      <c r="F1173" s="31">
        <v>0</v>
      </c>
      <c r="G1173" s="31">
        <v>0</v>
      </c>
      <c r="H1173" s="31">
        <v>2</v>
      </c>
      <c r="I1173" s="31">
        <v>6</v>
      </c>
      <c r="J1173" s="31">
        <f t="shared" si="69"/>
        <v>8</v>
      </c>
      <c r="K1173" s="28">
        <v>148000</v>
      </c>
      <c r="L1173" s="29">
        <v>0.81</v>
      </c>
      <c r="M1173" s="31">
        <f t="shared" si="70"/>
        <v>119880.00000000001</v>
      </c>
      <c r="N1173" s="28">
        <f t="shared" si="68"/>
        <v>28119.999999999993</v>
      </c>
    </row>
    <row r="1174" spans="1:15" x14ac:dyDescent="0.35">
      <c r="A1174">
        <v>735099</v>
      </c>
      <c r="B1174" t="s">
        <v>1350</v>
      </c>
      <c r="C1174" t="s">
        <v>428</v>
      </c>
      <c r="D1174" t="s">
        <v>1351</v>
      </c>
      <c r="E1174" s="30" t="s">
        <v>14</v>
      </c>
      <c r="F1174" s="31">
        <v>0</v>
      </c>
      <c r="G1174" s="31">
        <v>0</v>
      </c>
      <c r="H1174" s="31">
        <v>0</v>
      </c>
      <c r="I1174" s="31">
        <v>5</v>
      </c>
      <c r="J1174" s="31">
        <f t="shared" si="69"/>
        <v>5</v>
      </c>
      <c r="K1174" s="28">
        <v>298000</v>
      </c>
      <c r="L1174" s="29">
        <v>0.81</v>
      </c>
      <c r="M1174" s="31">
        <f t="shared" si="70"/>
        <v>241380.00000000003</v>
      </c>
      <c r="N1174" s="28">
        <f t="shared" si="68"/>
        <v>56619.999999999985</v>
      </c>
      <c r="O1174" s="28">
        <v>149000</v>
      </c>
    </row>
    <row r="1175" spans="1:15" x14ac:dyDescent="0.35">
      <c r="A1175">
        <v>702939</v>
      </c>
      <c r="B1175" t="s">
        <v>2103</v>
      </c>
      <c r="C1175" t="s">
        <v>426</v>
      </c>
      <c r="D1175" t="s">
        <v>1351</v>
      </c>
      <c r="E1175" s="30" t="s">
        <v>14</v>
      </c>
      <c r="F1175" s="31">
        <v>0</v>
      </c>
      <c r="G1175" s="31">
        <v>0</v>
      </c>
      <c r="H1175" s="31">
        <v>0</v>
      </c>
      <c r="I1175" s="31">
        <v>4</v>
      </c>
      <c r="J1175" s="31">
        <f t="shared" si="69"/>
        <v>4</v>
      </c>
      <c r="K1175" s="28">
        <v>34000</v>
      </c>
      <c r="L1175" s="29">
        <v>0.81</v>
      </c>
      <c r="M1175" s="31">
        <f t="shared" si="70"/>
        <v>27540</v>
      </c>
      <c r="N1175" s="28">
        <f t="shared" si="68"/>
        <v>6459.9999999999982</v>
      </c>
    </row>
    <row r="1176" spans="1:15" x14ac:dyDescent="0.35">
      <c r="A1176">
        <v>737253</v>
      </c>
      <c r="B1176" t="s">
        <v>2104</v>
      </c>
      <c r="C1176" t="s">
        <v>426</v>
      </c>
      <c r="D1176" t="s">
        <v>1351</v>
      </c>
      <c r="E1176" s="30" t="s">
        <v>14</v>
      </c>
      <c r="F1176" s="31">
        <v>0</v>
      </c>
      <c r="G1176" s="31">
        <v>1369</v>
      </c>
      <c r="H1176" s="31">
        <v>78</v>
      </c>
      <c r="I1176" s="31">
        <v>125</v>
      </c>
      <c r="J1176" s="31">
        <f t="shared" si="69"/>
        <v>1572</v>
      </c>
      <c r="K1176" s="28">
        <v>19000</v>
      </c>
      <c r="L1176" s="29">
        <v>0.81</v>
      </c>
      <c r="M1176" s="31">
        <f t="shared" si="70"/>
        <v>15390.000000000002</v>
      </c>
      <c r="N1176" s="28">
        <f t="shared" si="68"/>
        <v>3609.9999999999991</v>
      </c>
    </row>
    <row r="1177" spans="1:15" x14ac:dyDescent="0.35">
      <c r="A1177">
        <v>719048</v>
      </c>
      <c r="B1177" t="s">
        <v>2105</v>
      </c>
      <c r="C1177" t="s">
        <v>449</v>
      </c>
      <c r="D1177" t="s">
        <v>1351</v>
      </c>
      <c r="E1177" s="30" t="s">
        <v>14</v>
      </c>
      <c r="F1177" s="31">
        <v>0</v>
      </c>
      <c r="G1177" s="31">
        <v>0</v>
      </c>
      <c r="H1177" s="31">
        <v>0</v>
      </c>
      <c r="I1177" s="31">
        <v>32</v>
      </c>
      <c r="J1177" s="31">
        <f t="shared" si="69"/>
        <v>32</v>
      </c>
      <c r="K1177" s="28">
        <v>248000</v>
      </c>
      <c r="L1177" s="29">
        <v>0.45</v>
      </c>
      <c r="M1177" s="31">
        <f t="shared" si="70"/>
        <v>111600</v>
      </c>
      <c r="N1177" s="28">
        <f t="shared" si="68"/>
        <v>136400</v>
      </c>
    </row>
    <row r="1178" spans="1:15" x14ac:dyDescent="0.35">
      <c r="A1178">
        <v>724944</v>
      </c>
      <c r="B1178" t="s">
        <v>427</v>
      </c>
      <c r="C1178" t="s">
        <v>428</v>
      </c>
      <c r="D1178" t="s">
        <v>429</v>
      </c>
      <c r="E1178" s="30" t="s">
        <v>14</v>
      </c>
      <c r="F1178" s="31">
        <v>0</v>
      </c>
      <c r="G1178" s="31">
        <v>0</v>
      </c>
      <c r="H1178" s="31">
        <v>0</v>
      </c>
      <c r="I1178" s="31">
        <v>21</v>
      </c>
      <c r="J1178" s="31">
        <f t="shared" si="69"/>
        <v>21</v>
      </c>
      <c r="K1178" s="28">
        <v>3798000</v>
      </c>
      <c r="L1178" s="29">
        <v>0.45</v>
      </c>
      <c r="M1178" s="31">
        <f t="shared" si="70"/>
        <v>1709100</v>
      </c>
      <c r="N1178" s="28">
        <f t="shared" si="68"/>
        <v>2088900.0000000002</v>
      </c>
      <c r="O1178" s="28">
        <v>3038400</v>
      </c>
    </row>
    <row r="1179" spans="1:15" x14ac:dyDescent="0.35">
      <c r="A1179">
        <v>724947</v>
      </c>
      <c r="B1179" t="s">
        <v>430</v>
      </c>
      <c r="C1179" t="s">
        <v>428</v>
      </c>
      <c r="D1179" t="s">
        <v>429</v>
      </c>
      <c r="E1179" s="30" t="s">
        <v>14</v>
      </c>
      <c r="F1179" s="31">
        <v>0</v>
      </c>
      <c r="G1179" s="31">
        <v>0</v>
      </c>
      <c r="H1179" s="31">
        <v>0</v>
      </c>
      <c r="I1179" s="31">
        <v>1</v>
      </c>
      <c r="J1179" s="31">
        <f t="shared" si="69"/>
        <v>1</v>
      </c>
      <c r="K1179" s="28">
        <v>1998000</v>
      </c>
      <c r="L1179" s="29">
        <v>0.45</v>
      </c>
      <c r="M1179" s="31">
        <f t="shared" si="70"/>
        <v>899100</v>
      </c>
      <c r="N1179" s="28">
        <f t="shared" si="68"/>
        <v>1098900</v>
      </c>
    </row>
    <row r="1180" spans="1:15" x14ac:dyDescent="0.35">
      <c r="A1180">
        <v>727026</v>
      </c>
      <c r="B1180" t="s">
        <v>1357</v>
      </c>
      <c r="C1180" t="s">
        <v>428</v>
      </c>
      <c r="D1180" t="s">
        <v>429</v>
      </c>
      <c r="E1180" s="30" t="s">
        <v>14</v>
      </c>
      <c r="F1180" s="31">
        <v>0</v>
      </c>
      <c r="G1180" s="31">
        <v>0</v>
      </c>
      <c r="H1180" s="31">
        <v>0</v>
      </c>
      <c r="I1180" s="31">
        <v>7</v>
      </c>
      <c r="J1180" s="31">
        <f t="shared" si="69"/>
        <v>7</v>
      </c>
      <c r="K1180" s="28">
        <v>6498000</v>
      </c>
      <c r="L1180" s="29">
        <v>0.81</v>
      </c>
      <c r="M1180" s="31">
        <f t="shared" si="70"/>
        <v>5263380</v>
      </c>
      <c r="N1180" s="28">
        <f t="shared" si="68"/>
        <v>1234619.9999999998</v>
      </c>
      <c r="O1180" s="28">
        <v>1949400.0000000002</v>
      </c>
    </row>
    <row r="1181" spans="1:15" x14ac:dyDescent="0.35">
      <c r="A1181">
        <v>727028</v>
      </c>
      <c r="B1181" t="s">
        <v>1358</v>
      </c>
      <c r="C1181" t="s">
        <v>428</v>
      </c>
      <c r="D1181" t="s">
        <v>429</v>
      </c>
      <c r="E1181" s="30" t="s">
        <v>14</v>
      </c>
      <c r="F1181" s="31">
        <v>0</v>
      </c>
      <c r="G1181" s="31">
        <v>0</v>
      </c>
      <c r="H1181" s="31">
        <v>0</v>
      </c>
      <c r="I1181" s="31">
        <v>6</v>
      </c>
      <c r="J1181" s="31">
        <f t="shared" si="69"/>
        <v>6</v>
      </c>
      <c r="K1181" s="28">
        <v>8498000</v>
      </c>
      <c r="L1181" s="29">
        <v>0.81</v>
      </c>
      <c r="M1181" s="31">
        <f t="shared" si="70"/>
        <v>6883380</v>
      </c>
      <c r="N1181" s="28">
        <f t="shared" si="68"/>
        <v>1614619.9999999995</v>
      </c>
      <c r="O1181" s="28">
        <v>4249000</v>
      </c>
    </row>
    <row r="1182" spans="1:15" x14ac:dyDescent="0.35">
      <c r="A1182">
        <v>731516</v>
      </c>
      <c r="B1182" t="s">
        <v>1359</v>
      </c>
      <c r="C1182" t="s">
        <v>428</v>
      </c>
      <c r="D1182" t="s">
        <v>429</v>
      </c>
      <c r="E1182" s="30" t="s">
        <v>14</v>
      </c>
      <c r="F1182" s="31">
        <v>0</v>
      </c>
      <c r="G1182" s="31">
        <v>0</v>
      </c>
      <c r="H1182" s="31">
        <v>0</v>
      </c>
      <c r="I1182" s="31">
        <v>3</v>
      </c>
      <c r="J1182" s="31">
        <f t="shared" si="69"/>
        <v>3</v>
      </c>
      <c r="K1182" s="28">
        <v>4998000</v>
      </c>
      <c r="L1182" s="29">
        <v>0.81</v>
      </c>
      <c r="M1182" s="31">
        <f t="shared" si="70"/>
        <v>4048380.0000000005</v>
      </c>
      <c r="N1182" s="28">
        <f t="shared" si="68"/>
        <v>949619.99999999977</v>
      </c>
      <c r="O1182" s="28">
        <v>2499000</v>
      </c>
    </row>
    <row r="1183" spans="1:15" x14ac:dyDescent="0.35">
      <c r="A1183">
        <v>500335</v>
      </c>
      <c r="B1183" t="s">
        <v>2106</v>
      </c>
      <c r="C1183" t="s">
        <v>631</v>
      </c>
      <c r="D1183" t="s">
        <v>2107</v>
      </c>
      <c r="E1183" s="30" t="s">
        <v>14</v>
      </c>
      <c r="F1183" s="31">
        <v>0</v>
      </c>
      <c r="G1183" s="31">
        <v>0</v>
      </c>
      <c r="H1183" s="31">
        <v>0</v>
      </c>
      <c r="I1183" s="31">
        <v>1</v>
      </c>
      <c r="J1183" s="31">
        <f t="shared" si="69"/>
        <v>1</v>
      </c>
      <c r="K1183" s="28">
        <v>30000</v>
      </c>
      <c r="L1183" s="29">
        <v>0.81</v>
      </c>
      <c r="M1183" s="31">
        <f t="shared" si="70"/>
        <v>24300</v>
      </c>
      <c r="N1183" s="28">
        <f t="shared" si="68"/>
        <v>5699.9999999999982</v>
      </c>
    </row>
    <row r="1184" spans="1:15" x14ac:dyDescent="0.35">
      <c r="A1184">
        <v>200948</v>
      </c>
      <c r="B1184" t="s">
        <v>2108</v>
      </c>
      <c r="C1184" t="s">
        <v>502</v>
      </c>
      <c r="D1184" t="s">
        <v>2109</v>
      </c>
      <c r="E1184" s="30" t="s">
        <v>14</v>
      </c>
      <c r="F1184" s="31">
        <v>0</v>
      </c>
      <c r="G1184" s="31">
        <v>0</v>
      </c>
      <c r="H1184" s="31">
        <v>0</v>
      </c>
      <c r="I1184" s="31">
        <v>20</v>
      </c>
      <c r="J1184" s="31">
        <f t="shared" si="69"/>
        <v>20</v>
      </c>
      <c r="K1184" s="28">
        <v>89000</v>
      </c>
      <c r="L1184" s="29">
        <v>0.81</v>
      </c>
      <c r="M1184" s="31">
        <f t="shared" si="70"/>
        <v>72090</v>
      </c>
      <c r="N1184" s="28">
        <f t="shared" si="68"/>
        <v>16909.999999999996</v>
      </c>
    </row>
    <row r="1185" spans="1:15" x14ac:dyDescent="0.35">
      <c r="A1185">
        <v>200949</v>
      </c>
      <c r="B1185" t="s">
        <v>2110</v>
      </c>
      <c r="C1185" t="s">
        <v>502</v>
      </c>
      <c r="D1185" t="s">
        <v>2109</v>
      </c>
      <c r="E1185" s="30" t="s">
        <v>14</v>
      </c>
      <c r="F1185" s="31">
        <v>0</v>
      </c>
      <c r="G1185" s="31">
        <v>0</v>
      </c>
      <c r="H1185" s="31">
        <v>0</v>
      </c>
      <c r="I1185" s="31">
        <v>5</v>
      </c>
      <c r="J1185" s="31">
        <f t="shared" si="69"/>
        <v>5</v>
      </c>
      <c r="K1185" s="28">
        <v>89000</v>
      </c>
      <c r="L1185" s="29">
        <v>0.81</v>
      </c>
      <c r="M1185" s="31">
        <f t="shared" si="70"/>
        <v>72090</v>
      </c>
      <c r="N1185" s="28">
        <f t="shared" si="68"/>
        <v>16909.999999999996</v>
      </c>
    </row>
    <row r="1186" spans="1:15" x14ac:dyDescent="0.35">
      <c r="A1186">
        <v>703235</v>
      </c>
      <c r="B1186" t="s">
        <v>2111</v>
      </c>
      <c r="C1186" t="s">
        <v>502</v>
      </c>
      <c r="D1186" t="s">
        <v>2109</v>
      </c>
      <c r="E1186" s="30" t="s">
        <v>14</v>
      </c>
      <c r="F1186" s="31">
        <v>0</v>
      </c>
      <c r="G1186" s="31">
        <v>0</v>
      </c>
      <c r="H1186" s="31">
        <v>0</v>
      </c>
      <c r="I1186" s="31">
        <v>1</v>
      </c>
      <c r="J1186" s="31">
        <f t="shared" si="69"/>
        <v>1</v>
      </c>
      <c r="K1186" s="28">
        <v>128000</v>
      </c>
      <c r="L1186" s="29">
        <v>0.81</v>
      </c>
      <c r="M1186" s="31">
        <f t="shared" si="70"/>
        <v>103680</v>
      </c>
      <c r="N1186" s="28">
        <f t="shared" si="68"/>
        <v>24319.999999999993</v>
      </c>
    </row>
    <row r="1187" spans="1:15" x14ac:dyDescent="0.35">
      <c r="A1187">
        <v>703238</v>
      </c>
      <c r="B1187" t="s">
        <v>2112</v>
      </c>
      <c r="C1187" t="s">
        <v>502</v>
      </c>
      <c r="D1187" t="s">
        <v>2109</v>
      </c>
      <c r="E1187" s="30" t="s">
        <v>14</v>
      </c>
      <c r="F1187" s="31">
        <v>0</v>
      </c>
      <c r="G1187" s="31">
        <v>0</v>
      </c>
      <c r="H1187" s="31">
        <v>0</v>
      </c>
      <c r="I1187" s="31">
        <v>46</v>
      </c>
      <c r="J1187" s="31">
        <f t="shared" si="69"/>
        <v>46</v>
      </c>
      <c r="K1187" s="28">
        <v>99000</v>
      </c>
      <c r="L1187" s="29">
        <v>0.81</v>
      </c>
      <c r="M1187" s="31">
        <f t="shared" si="70"/>
        <v>80190</v>
      </c>
      <c r="N1187" s="28">
        <f t="shared" si="68"/>
        <v>18809.999999999996</v>
      </c>
    </row>
    <row r="1188" spans="1:15" x14ac:dyDescent="0.35">
      <c r="A1188">
        <v>703239</v>
      </c>
      <c r="B1188" t="s">
        <v>2113</v>
      </c>
      <c r="C1188" t="s">
        <v>502</v>
      </c>
      <c r="D1188" t="s">
        <v>2109</v>
      </c>
      <c r="E1188" s="30" t="s">
        <v>14</v>
      </c>
      <c r="F1188" s="31">
        <v>0</v>
      </c>
      <c r="G1188" s="31">
        <v>0</v>
      </c>
      <c r="H1188" s="31">
        <v>0</v>
      </c>
      <c r="I1188" s="31">
        <v>6</v>
      </c>
      <c r="J1188" s="31">
        <f t="shared" si="69"/>
        <v>6</v>
      </c>
      <c r="K1188" s="28">
        <v>99000</v>
      </c>
      <c r="L1188" s="29">
        <v>0.81</v>
      </c>
      <c r="M1188" s="31">
        <f t="shared" si="70"/>
        <v>80190</v>
      </c>
      <c r="N1188" s="28">
        <f t="shared" si="68"/>
        <v>18809.999999999996</v>
      </c>
    </row>
    <row r="1189" spans="1:15" x14ac:dyDescent="0.35">
      <c r="A1189">
        <v>730077001</v>
      </c>
      <c r="B1189" t="s">
        <v>1360</v>
      </c>
      <c r="C1189" t="s">
        <v>565</v>
      </c>
      <c r="D1189" t="s">
        <v>1361</v>
      </c>
      <c r="E1189" s="30" t="s">
        <v>14</v>
      </c>
      <c r="F1189" s="31">
        <v>0</v>
      </c>
      <c r="G1189" s="31">
        <v>0</v>
      </c>
      <c r="H1189" s="31">
        <v>0</v>
      </c>
      <c r="I1189" s="31">
        <v>1</v>
      </c>
      <c r="J1189" s="31">
        <f t="shared" si="69"/>
        <v>1</v>
      </c>
      <c r="K1189" s="28">
        <v>2298000</v>
      </c>
      <c r="L1189" s="29">
        <v>0.81</v>
      </c>
      <c r="M1189" s="31">
        <f t="shared" si="70"/>
        <v>1861380.0000000002</v>
      </c>
      <c r="N1189" s="28">
        <f t="shared" si="68"/>
        <v>436619.99999999988</v>
      </c>
      <c r="O1189" s="28">
        <v>1149000</v>
      </c>
    </row>
    <row r="1190" spans="1:15" x14ac:dyDescent="0.35">
      <c r="A1190">
        <v>730078001</v>
      </c>
      <c r="B1190" t="s">
        <v>1362</v>
      </c>
      <c r="C1190" t="s">
        <v>565</v>
      </c>
      <c r="D1190" t="s">
        <v>1361</v>
      </c>
      <c r="E1190" s="30" t="s">
        <v>14</v>
      </c>
      <c r="F1190" s="31">
        <v>0</v>
      </c>
      <c r="G1190" s="31">
        <v>0</v>
      </c>
      <c r="H1190" s="31">
        <v>0</v>
      </c>
      <c r="I1190" s="31">
        <v>1</v>
      </c>
      <c r="J1190" s="31">
        <f t="shared" si="69"/>
        <v>1</v>
      </c>
      <c r="K1190" s="28">
        <v>2298000</v>
      </c>
      <c r="L1190" s="29">
        <v>0.81</v>
      </c>
      <c r="M1190" s="31">
        <f t="shared" si="70"/>
        <v>1861380.0000000002</v>
      </c>
      <c r="N1190" s="28">
        <f t="shared" si="68"/>
        <v>436619.99999999988</v>
      </c>
      <c r="O1190" s="28">
        <v>1149000</v>
      </c>
    </row>
    <row r="1191" spans="1:15" x14ac:dyDescent="0.35">
      <c r="A1191">
        <v>729646</v>
      </c>
      <c r="B1191" t="s">
        <v>2114</v>
      </c>
      <c r="C1191" t="s">
        <v>2010</v>
      </c>
      <c r="D1191" t="s">
        <v>351</v>
      </c>
      <c r="E1191" s="30" t="s">
        <v>14</v>
      </c>
      <c r="F1191" s="31">
        <v>1</v>
      </c>
      <c r="G1191" s="31">
        <v>0</v>
      </c>
      <c r="H1191" s="31">
        <v>0</v>
      </c>
      <c r="I1191" s="31">
        <v>1</v>
      </c>
      <c r="J1191" s="31">
        <f t="shared" si="69"/>
        <v>2</v>
      </c>
      <c r="K1191" s="28">
        <v>28980000</v>
      </c>
      <c r="L1191" s="29">
        <v>0.45</v>
      </c>
      <c r="M1191" s="31">
        <f t="shared" si="70"/>
        <v>13041000</v>
      </c>
      <c r="N1191" s="28">
        <f t="shared" si="68"/>
        <v>15939000.000000002</v>
      </c>
    </row>
    <row r="1192" spans="1:15" x14ac:dyDescent="0.35">
      <c r="A1192">
        <v>735115</v>
      </c>
      <c r="B1192" t="s">
        <v>2115</v>
      </c>
      <c r="C1192" t="s">
        <v>2010</v>
      </c>
      <c r="D1192" t="s">
        <v>351</v>
      </c>
      <c r="E1192" s="30" t="s">
        <v>14</v>
      </c>
      <c r="F1192" s="31">
        <v>0</v>
      </c>
      <c r="G1192" s="31">
        <v>0</v>
      </c>
      <c r="H1192" s="31">
        <v>0</v>
      </c>
      <c r="I1192" s="31">
        <v>3</v>
      </c>
      <c r="J1192" s="31">
        <f t="shared" si="69"/>
        <v>3</v>
      </c>
      <c r="K1192" s="28">
        <v>4798000</v>
      </c>
      <c r="L1192" s="29">
        <v>0.45</v>
      </c>
      <c r="M1192" s="31">
        <f t="shared" si="70"/>
        <v>2159100</v>
      </c>
      <c r="N1192" s="28">
        <f t="shared" si="68"/>
        <v>2638900</v>
      </c>
    </row>
    <row r="1193" spans="1:15" x14ac:dyDescent="0.35">
      <c r="A1193">
        <v>703317</v>
      </c>
      <c r="B1193" t="s">
        <v>1363</v>
      </c>
      <c r="C1193" t="s">
        <v>92</v>
      </c>
      <c r="D1193" t="s">
        <v>351</v>
      </c>
      <c r="E1193" s="30" t="s">
        <v>14</v>
      </c>
      <c r="F1193" s="31">
        <v>0</v>
      </c>
      <c r="G1193" s="31">
        <v>0</v>
      </c>
      <c r="H1193" s="31">
        <v>0</v>
      </c>
      <c r="I1193" s="31">
        <v>1</v>
      </c>
      <c r="J1193" s="31">
        <f t="shared" si="69"/>
        <v>1</v>
      </c>
      <c r="K1193" s="28">
        <v>3398000</v>
      </c>
      <c r="L1193" s="29">
        <v>0.81</v>
      </c>
      <c r="M1193" s="31">
        <f t="shared" si="70"/>
        <v>2752380</v>
      </c>
      <c r="N1193" s="28">
        <f t="shared" si="68"/>
        <v>645619.99999999977</v>
      </c>
      <c r="O1193" s="28">
        <v>1019400.0000000001</v>
      </c>
    </row>
    <row r="1194" spans="1:15" x14ac:dyDescent="0.35">
      <c r="A1194">
        <v>703318</v>
      </c>
      <c r="B1194" t="s">
        <v>1364</v>
      </c>
      <c r="C1194" t="s">
        <v>92</v>
      </c>
      <c r="D1194" t="s">
        <v>351</v>
      </c>
      <c r="E1194" s="30" t="s">
        <v>14</v>
      </c>
      <c r="F1194" s="31">
        <v>0</v>
      </c>
      <c r="G1194" s="31">
        <v>0</v>
      </c>
      <c r="H1194" s="31">
        <v>0</v>
      </c>
      <c r="I1194" s="31">
        <v>1</v>
      </c>
      <c r="J1194" s="31">
        <f t="shared" si="69"/>
        <v>1</v>
      </c>
      <c r="K1194" s="28">
        <v>3398000</v>
      </c>
      <c r="L1194" s="29">
        <v>0.81</v>
      </c>
      <c r="M1194" s="31">
        <f t="shared" si="70"/>
        <v>2752380</v>
      </c>
      <c r="N1194" s="28">
        <f t="shared" si="68"/>
        <v>645619.99999999977</v>
      </c>
      <c r="O1194" s="28">
        <v>1019400.0000000001</v>
      </c>
    </row>
    <row r="1195" spans="1:15" x14ac:dyDescent="0.35">
      <c r="A1195">
        <v>710365</v>
      </c>
      <c r="B1195" t="s">
        <v>1366</v>
      </c>
      <c r="C1195" t="s">
        <v>92</v>
      </c>
      <c r="D1195" t="s">
        <v>351</v>
      </c>
      <c r="E1195" s="30" t="s">
        <v>14</v>
      </c>
      <c r="F1195" s="31">
        <v>0</v>
      </c>
      <c r="G1195" s="31">
        <v>0</v>
      </c>
      <c r="H1195" s="31">
        <v>0</v>
      </c>
      <c r="I1195" s="31">
        <v>1</v>
      </c>
      <c r="J1195" s="31">
        <f t="shared" si="69"/>
        <v>1</v>
      </c>
      <c r="K1195" s="28">
        <v>2798000</v>
      </c>
      <c r="L1195" s="29">
        <v>0.81</v>
      </c>
      <c r="M1195" s="31">
        <f t="shared" si="70"/>
        <v>2266380</v>
      </c>
      <c r="N1195" s="28">
        <f t="shared" si="68"/>
        <v>531619.99999999988</v>
      </c>
      <c r="O1195" s="28">
        <v>839400.00000000012</v>
      </c>
    </row>
    <row r="1196" spans="1:15" x14ac:dyDescent="0.35">
      <c r="A1196">
        <v>710366</v>
      </c>
      <c r="B1196" t="s">
        <v>1367</v>
      </c>
      <c r="C1196" t="s">
        <v>92</v>
      </c>
      <c r="D1196" t="s">
        <v>351</v>
      </c>
      <c r="E1196" s="30" t="s">
        <v>14</v>
      </c>
      <c r="F1196" s="31">
        <v>0</v>
      </c>
      <c r="G1196" s="31">
        <v>0</v>
      </c>
      <c r="H1196" s="31">
        <v>0</v>
      </c>
      <c r="I1196" s="31">
        <v>2</v>
      </c>
      <c r="J1196" s="31">
        <f t="shared" si="69"/>
        <v>2</v>
      </c>
      <c r="K1196" s="28">
        <v>2798000</v>
      </c>
      <c r="L1196" s="29">
        <v>0.81</v>
      </c>
      <c r="M1196" s="31">
        <f t="shared" si="70"/>
        <v>2266380</v>
      </c>
      <c r="N1196" s="28">
        <f t="shared" si="68"/>
        <v>531619.99999999988</v>
      </c>
      <c r="O1196" s="28">
        <v>839400.00000000012</v>
      </c>
    </row>
    <row r="1197" spans="1:15" x14ac:dyDescent="0.35">
      <c r="A1197">
        <v>710877</v>
      </c>
      <c r="B1197" t="s">
        <v>1368</v>
      </c>
      <c r="C1197" t="s">
        <v>92</v>
      </c>
      <c r="D1197" t="s">
        <v>351</v>
      </c>
      <c r="E1197" s="30" t="s">
        <v>14</v>
      </c>
      <c r="F1197" s="31">
        <v>0</v>
      </c>
      <c r="G1197" s="31">
        <v>0</v>
      </c>
      <c r="H1197" s="31">
        <v>0</v>
      </c>
      <c r="I1197" s="31">
        <v>2</v>
      </c>
      <c r="J1197" s="31">
        <f t="shared" si="69"/>
        <v>2</v>
      </c>
      <c r="K1197" s="28">
        <v>2648000</v>
      </c>
      <c r="L1197" s="29">
        <v>0.81</v>
      </c>
      <c r="M1197" s="31">
        <f t="shared" si="70"/>
        <v>2144880</v>
      </c>
      <c r="N1197" s="28">
        <f t="shared" si="68"/>
        <v>503119.99999999988</v>
      </c>
      <c r="O1197" s="28">
        <v>794400.00000000012</v>
      </c>
    </row>
    <row r="1198" spans="1:15" x14ac:dyDescent="0.35">
      <c r="A1198">
        <v>716912</v>
      </c>
      <c r="B1198" t="s">
        <v>1369</v>
      </c>
      <c r="C1198" t="s">
        <v>92</v>
      </c>
      <c r="D1198" t="s">
        <v>351</v>
      </c>
      <c r="E1198" s="30" t="s">
        <v>14</v>
      </c>
      <c r="F1198" s="31">
        <v>0</v>
      </c>
      <c r="G1198" s="31">
        <v>0</v>
      </c>
      <c r="H1198" s="31">
        <v>0</v>
      </c>
      <c r="I1198" s="31">
        <v>1</v>
      </c>
      <c r="J1198" s="31">
        <f t="shared" si="69"/>
        <v>1</v>
      </c>
      <c r="K1198" s="28">
        <v>19980000</v>
      </c>
      <c r="L1198" s="29">
        <v>0.81</v>
      </c>
      <c r="M1198" s="31">
        <f t="shared" si="70"/>
        <v>16183800.000000002</v>
      </c>
      <c r="N1198" s="28">
        <f t="shared" si="68"/>
        <v>3796199.9999999991</v>
      </c>
      <c r="O1198" s="28">
        <v>5994000.0000000009</v>
      </c>
    </row>
    <row r="1199" spans="1:15" x14ac:dyDescent="0.35">
      <c r="A1199">
        <v>733429</v>
      </c>
      <c r="B1199" t="s">
        <v>1375</v>
      </c>
      <c r="C1199" t="s">
        <v>555</v>
      </c>
      <c r="D1199" t="s">
        <v>351</v>
      </c>
      <c r="E1199" s="30" t="s">
        <v>14</v>
      </c>
      <c r="F1199" s="31">
        <v>0</v>
      </c>
      <c r="G1199" s="31">
        <v>0</v>
      </c>
      <c r="H1199" s="31">
        <v>1</v>
      </c>
      <c r="I1199" s="31">
        <v>1</v>
      </c>
      <c r="J1199" s="31">
        <f t="shared" si="69"/>
        <v>2</v>
      </c>
      <c r="K1199" s="28">
        <v>9998000</v>
      </c>
      <c r="L1199" s="29">
        <v>0.45</v>
      </c>
      <c r="M1199" s="31">
        <f t="shared" si="70"/>
        <v>4499100</v>
      </c>
      <c r="N1199" s="28">
        <f t="shared" si="68"/>
        <v>5498900</v>
      </c>
      <c r="O1199" s="28">
        <v>7998400</v>
      </c>
    </row>
  </sheetData>
  <autoFilter ref="A2:O1199" xr:uid="{2DB911F0-B032-46DC-9E7E-CD3235482D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5143-15FD-4060-85FA-1DD99B3DEAFF}">
  <dimension ref="A1:H18"/>
  <sheetViews>
    <sheetView workbookViewId="0">
      <selection activeCell="B8" sqref="B8"/>
    </sheetView>
  </sheetViews>
  <sheetFormatPr defaultRowHeight="14.5" x14ac:dyDescent="0.35"/>
  <cols>
    <col min="1" max="1" width="9.81640625" bestFit="1" customWidth="1"/>
    <col min="2" max="2" width="39.6328125" bestFit="1" customWidth="1"/>
    <col min="3" max="3" width="6.7265625" bestFit="1" customWidth="1"/>
    <col min="4" max="4" width="14.453125" bestFit="1" customWidth="1"/>
    <col min="5" max="5" width="3.6328125" bestFit="1" customWidth="1"/>
    <col min="6" max="6" width="11.1796875" bestFit="1" customWidth="1"/>
    <col min="7" max="7" width="13.26953125" bestFit="1" customWidth="1"/>
    <col min="8" max="8" width="12.26953125" bestFit="1" customWidth="1"/>
  </cols>
  <sheetData>
    <row r="1" spans="1:8" x14ac:dyDescent="0.35">
      <c r="B1" s="34" t="s">
        <v>2122</v>
      </c>
      <c r="C1" s="34"/>
      <c r="D1" s="34"/>
      <c r="G1" s="33"/>
    </row>
    <row r="2" spans="1:8" x14ac:dyDescent="0.35">
      <c r="A2" s="35" t="s">
        <v>0</v>
      </c>
      <c r="B2" s="35" t="s">
        <v>1</v>
      </c>
      <c r="C2" s="35" t="s">
        <v>2</v>
      </c>
      <c r="D2" s="35" t="s">
        <v>3</v>
      </c>
      <c r="E2" s="35" t="s">
        <v>2123</v>
      </c>
      <c r="F2" s="35" t="s">
        <v>2124</v>
      </c>
      <c r="G2" s="36" t="s">
        <v>2125</v>
      </c>
      <c r="H2" s="37" t="s">
        <v>2126</v>
      </c>
    </row>
    <row r="3" spans="1:8" x14ac:dyDescent="0.35">
      <c r="A3" s="23">
        <v>737805001</v>
      </c>
      <c r="B3" s="38" t="s">
        <v>2127</v>
      </c>
      <c r="C3" s="41" t="s">
        <v>2132</v>
      </c>
      <c r="D3" s="41" t="s">
        <v>366</v>
      </c>
      <c r="E3" s="23">
        <v>1</v>
      </c>
      <c r="F3" s="24">
        <v>1995000</v>
      </c>
      <c r="G3" s="39">
        <v>199500</v>
      </c>
      <c r="H3" s="39">
        <f t="shared" ref="H3:H10" si="0">F3-G3</f>
        <v>1795500</v>
      </c>
    </row>
    <row r="4" spans="1:8" x14ac:dyDescent="0.35">
      <c r="A4" s="23">
        <v>737806001</v>
      </c>
      <c r="B4" s="38" t="s">
        <v>2128</v>
      </c>
      <c r="C4" s="41" t="s">
        <v>2132</v>
      </c>
      <c r="D4" s="41" t="s">
        <v>366</v>
      </c>
      <c r="E4" s="23">
        <v>1</v>
      </c>
      <c r="F4" s="24">
        <v>1995000</v>
      </c>
      <c r="G4" s="39">
        <v>199500</v>
      </c>
      <c r="H4" s="39">
        <f t="shared" si="0"/>
        <v>1795500</v>
      </c>
    </row>
    <row r="5" spans="1:8" x14ac:dyDescent="0.35">
      <c r="A5" s="23">
        <v>737807001</v>
      </c>
      <c r="B5" s="38" t="s">
        <v>2129</v>
      </c>
      <c r="C5" s="41" t="s">
        <v>2132</v>
      </c>
      <c r="D5" s="41" t="s">
        <v>366</v>
      </c>
      <c r="E5" s="23">
        <v>1</v>
      </c>
      <c r="F5" s="24">
        <v>1995000</v>
      </c>
      <c r="G5" s="39">
        <v>199500</v>
      </c>
      <c r="H5" s="39">
        <f t="shared" si="0"/>
        <v>1795500</v>
      </c>
    </row>
    <row r="6" spans="1:8" x14ac:dyDescent="0.35">
      <c r="A6" s="23">
        <v>737813001</v>
      </c>
      <c r="B6" s="38" t="s">
        <v>1648</v>
      </c>
      <c r="C6" s="41" t="s">
        <v>2132</v>
      </c>
      <c r="D6" s="41" t="s">
        <v>366</v>
      </c>
      <c r="E6" s="23">
        <v>1</v>
      </c>
      <c r="F6" s="24">
        <v>2595000</v>
      </c>
      <c r="G6" s="39">
        <v>259500</v>
      </c>
      <c r="H6" s="39">
        <f t="shared" si="0"/>
        <v>2335500</v>
      </c>
    </row>
    <row r="7" spans="1:8" x14ac:dyDescent="0.35">
      <c r="A7" s="23">
        <v>737814001</v>
      </c>
      <c r="B7" s="38" t="s">
        <v>1649</v>
      </c>
      <c r="C7" s="41" t="s">
        <v>2132</v>
      </c>
      <c r="D7" s="41" t="s">
        <v>366</v>
      </c>
      <c r="E7" s="23">
        <v>1</v>
      </c>
      <c r="F7" s="24">
        <v>2595000</v>
      </c>
      <c r="G7" s="39">
        <v>259500</v>
      </c>
      <c r="H7" s="39">
        <f t="shared" si="0"/>
        <v>2335500</v>
      </c>
    </row>
    <row r="8" spans="1:8" x14ac:dyDescent="0.35">
      <c r="A8" s="23">
        <v>737815001</v>
      </c>
      <c r="B8" s="38" t="s">
        <v>1650</v>
      </c>
      <c r="C8" s="41" t="s">
        <v>2132</v>
      </c>
      <c r="D8" s="41" t="s">
        <v>366</v>
      </c>
      <c r="E8" s="23">
        <v>1</v>
      </c>
      <c r="F8" s="24">
        <v>2595000</v>
      </c>
      <c r="G8" s="39">
        <v>259500</v>
      </c>
      <c r="H8" s="39">
        <f t="shared" si="0"/>
        <v>2335500</v>
      </c>
    </row>
    <row r="9" spans="1:8" x14ac:dyDescent="0.35">
      <c r="A9" s="23">
        <v>739920001</v>
      </c>
      <c r="B9" s="38" t="s">
        <v>1651</v>
      </c>
      <c r="C9" s="41" t="s">
        <v>2132</v>
      </c>
      <c r="D9" s="41" t="s">
        <v>366</v>
      </c>
      <c r="E9" s="23">
        <v>1</v>
      </c>
      <c r="F9" s="24">
        <v>2895000</v>
      </c>
      <c r="G9" s="39">
        <v>289500</v>
      </c>
      <c r="H9" s="39">
        <f t="shared" si="0"/>
        <v>2605500</v>
      </c>
    </row>
    <row r="10" spans="1:8" x14ac:dyDescent="0.35">
      <c r="A10" s="23">
        <v>739921001</v>
      </c>
      <c r="B10" s="38" t="s">
        <v>1652</v>
      </c>
      <c r="C10" s="41" t="s">
        <v>2132</v>
      </c>
      <c r="D10" s="41" t="s">
        <v>366</v>
      </c>
      <c r="E10" s="23">
        <v>1</v>
      </c>
      <c r="F10" s="24">
        <v>2895000</v>
      </c>
      <c r="G10" s="39">
        <v>289500</v>
      </c>
      <c r="H10" s="39">
        <f t="shared" si="0"/>
        <v>2605500</v>
      </c>
    </row>
    <row r="11" spans="1:8" x14ac:dyDescent="0.35">
      <c r="B11" s="40"/>
      <c r="C11" s="40"/>
      <c r="D11" s="40"/>
    </row>
    <row r="12" spans="1:8" x14ac:dyDescent="0.35">
      <c r="B12" s="34" t="s">
        <v>2130</v>
      </c>
      <c r="C12" s="34"/>
      <c r="D12" s="34"/>
      <c r="G12" s="32"/>
    </row>
    <row r="13" spans="1:8" x14ac:dyDescent="0.35">
      <c r="A13" s="35" t="s">
        <v>0</v>
      </c>
      <c r="B13" s="35" t="s">
        <v>1</v>
      </c>
      <c r="C13" s="35" t="s">
        <v>2</v>
      </c>
      <c r="D13" s="35" t="s">
        <v>3</v>
      </c>
      <c r="E13" s="35" t="s">
        <v>2123</v>
      </c>
      <c r="F13" s="35" t="s">
        <v>2124</v>
      </c>
      <c r="G13" s="36" t="s">
        <v>2125</v>
      </c>
      <c r="H13" s="37" t="s">
        <v>2126</v>
      </c>
    </row>
    <row r="14" spans="1:8" x14ac:dyDescent="0.35">
      <c r="A14" s="23">
        <v>735313</v>
      </c>
      <c r="B14" s="38" t="s">
        <v>2131</v>
      </c>
      <c r="C14" s="41" t="s">
        <v>2132</v>
      </c>
      <c r="D14" s="41" t="s">
        <v>2133</v>
      </c>
      <c r="E14" s="23">
        <v>1</v>
      </c>
      <c r="F14" s="24">
        <v>10200000</v>
      </c>
      <c r="G14" s="39">
        <v>1020000</v>
      </c>
      <c r="H14" s="39">
        <f>F14-G14</f>
        <v>9180000</v>
      </c>
    </row>
    <row r="15" spans="1:8" x14ac:dyDescent="0.35">
      <c r="A15" s="23">
        <v>733659</v>
      </c>
      <c r="B15" s="38" t="s">
        <v>1655</v>
      </c>
      <c r="C15" s="41" t="s">
        <v>2132</v>
      </c>
      <c r="D15" s="41" t="s">
        <v>2133</v>
      </c>
      <c r="E15" s="23">
        <v>1</v>
      </c>
      <c r="F15" s="24">
        <v>18000000</v>
      </c>
      <c r="G15" s="39">
        <v>1800000</v>
      </c>
      <c r="H15" s="39">
        <f>F15-G15</f>
        <v>16200000</v>
      </c>
    </row>
    <row r="16" spans="1:8" x14ac:dyDescent="0.35">
      <c r="A16" s="23">
        <v>727901</v>
      </c>
      <c r="B16" s="38" t="s">
        <v>1656</v>
      </c>
      <c r="C16" s="41" t="s">
        <v>2132</v>
      </c>
      <c r="D16" s="41" t="s">
        <v>2133</v>
      </c>
      <c r="E16" s="23">
        <v>1</v>
      </c>
      <c r="F16" s="24">
        <v>19700000</v>
      </c>
      <c r="G16" s="39">
        <v>1970000</v>
      </c>
      <c r="H16" s="39">
        <f>F16-G16</f>
        <v>17730000</v>
      </c>
    </row>
    <row r="17" spans="1:8" x14ac:dyDescent="0.35">
      <c r="A17" s="23">
        <v>718874</v>
      </c>
      <c r="B17" s="38" t="s">
        <v>1654</v>
      </c>
      <c r="C17" s="41" t="s">
        <v>2132</v>
      </c>
      <c r="D17" s="41" t="s">
        <v>2133</v>
      </c>
      <c r="E17" s="23">
        <v>1</v>
      </c>
      <c r="F17" s="24">
        <v>13500000</v>
      </c>
      <c r="G17" s="39">
        <v>1350000</v>
      </c>
      <c r="H17" s="39">
        <f>F17-G17</f>
        <v>12150000</v>
      </c>
    </row>
    <row r="18" spans="1:8" x14ac:dyDescent="0.35">
      <c r="A18" s="23">
        <v>733160</v>
      </c>
      <c r="B18" s="38" t="s">
        <v>1653</v>
      </c>
      <c r="C18" s="41" t="s">
        <v>2132</v>
      </c>
      <c r="D18" s="41" t="s">
        <v>2133</v>
      </c>
      <c r="E18" s="23">
        <v>1</v>
      </c>
      <c r="F18" s="24">
        <v>4600000</v>
      </c>
      <c r="G18" s="39">
        <v>460000</v>
      </c>
      <c r="H18" s="39">
        <f>F18-G18</f>
        <v>4140000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4B57-4A9F-4B78-9929-C35738F44AB8}">
  <dimension ref="A1:D5"/>
  <sheetViews>
    <sheetView workbookViewId="0"/>
  </sheetViews>
  <sheetFormatPr defaultRowHeight="14.5" x14ac:dyDescent="0.35"/>
  <cols>
    <col min="1" max="1" width="6.81640625" bestFit="1" customWidth="1"/>
    <col min="2" max="2" width="20.453125" bestFit="1" customWidth="1"/>
    <col min="3" max="3" width="9.453125" bestFit="1" customWidth="1"/>
    <col min="4" max="4" width="9.81640625" bestFit="1" customWidth="1"/>
  </cols>
  <sheetData>
    <row r="1" spans="1:4" x14ac:dyDescent="0.35">
      <c r="A1" s="6" t="s">
        <v>548</v>
      </c>
      <c r="B1" s="6" t="s">
        <v>1401</v>
      </c>
      <c r="C1" s="6" t="s">
        <v>550</v>
      </c>
      <c r="D1" s="6" t="s">
        <v>552</v>
      </c>
    </row>
    <row r="2" spans="1:4" x14ac:dyDescent="0.35">
      <c r="A2">
        <v>730354</v>
      </c>
      <c r="B2" t="s">
        <v>1643</v>
      </c>
      <c r="C2" t="s">
        <v>1644</v>
      </c>
      <c r="D2" s="3">
        <v>10000</v>
      </c>
    </row>
    <row r="3" spans="1:4" x14ac:dyDescent="0.35">
      <c r="A3">
        <v>730355</v>
      </c>
      <c r="B3" t="s">
        <v>1645</v>
      </c>
      <c r="C3" t="s">
        <v>1644</v>
      </c>
      <c r="D3" s="3">
        <v>7000</v>
      </c>
    </row>
    <row r="4" spans="1:4" x14ac:dyDescent="0.35">
      <c r="A4">
        <v>737304</v>
      </c>
      <c r="B4" t="s">
        <v>1646</v>
      </c>
      <c r="C4" t="s">
        <v>426</v>
      </c>
      <c r="D4" s="3">
        <v>5000</v>
      </c>
    </row>
    <row r="5" spans="1:4" x14ac:dyDescent="0.35">
      <c r="A5">
        <v>737305</v>
      </c>
      <c r="B5" t="s">
        <v>1647</v>
      </c>
      <c r="C5" t="s">
        <v>426</v>
      </c>
      <c r="D5" s="3">
        <v>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1178-6E56-42E3-A7FC-B9568015E1D6}">
  <dimension ref="A1:N1118"/>
  <sheetViews>
    <sheetView zoomScale="80" zoomScaleNormal="80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0.1796875" bestFit="1" customWidth="1"/>
    <col min="2" max="2" width="42.36328125" bestFit="1" customWidth="1"/>
    <col min="3" max="3" width="16.90625" bestFit="1" customWidth="1"/>
    <col min="4" max="4" width="19.26953125" bestFit="1" customWidth="1"/>
    <col min="5" max="5" width="8.54296875" bestFit="1" customWidth="1"/>
    <col min="6" max="6" width="14" style="3" bestFit="1" customWidth="1"/>
    <col min="7" max="7" width="9.08984375" bestFit="1" customWidth="1"/>
    <col min="8" max="8" width="12.90625" bestFit="1" customWidth="1"/>
  </cols>
  <sheetData>
    <row r="1" spans="1:8" ht="29" x14ac:dyDescent="0.35">
      <c r="A1" s="5" t="s">
        <v>548</v>
      </c>
      <c r="B1" s="5" t="s">
        <v>549</v>
      </c>
      <c r="C1" s="5" t="s">
        <v>550</v>
      </c>
      <c r="D1" s="5" t="s">
        <v>3</v>
      </c>
      <c r="E1" s="5" t="s">
        <v>551</v>
      </c>
      <c r="F1" s="22" t="s">
        <v>552</v>
      </c>
      <c r="G1" s="5" t="s">
        <v>2142</v>
      </c>
      <c r="H1" s="5" t="s">
        <v>1378</v>
      </c>
    </row>
    <row r="2" spans="1:8" x14ac:dyDescent="0.35">
      <c r="A2">
        <v>734881</v>
      </c>
      <c r="B2" t="s">
        <v>91</v>
      </c>
      <c r="C2" t="s">
        <v>92</v>
      </c>
      <c r="D2" t="s">
        <v>93</v>
      </c>
      <c r="E2" t="s">
        <v>14</v>
      </c>
      <c r="F2" s="3">
        <v>72000</v>
      </c>
      <c r="G2" s="3">
        <v>50000</v>
      </c>
      <c r="H2" s="4">
        <f>G2</f>
        <v>50000</v>
      </c>
    </row>
    <row r="3" spans="1:8" x14ac:dyDescent="0.35">
      <c r="A3">
        <v>707065002</v>
      </c>
      <c r="B3" t="s">
        <v>553</v>
      </c>
      <c r="C3" t="s">
        <v>362</v>
      </c>
      <c r="D3" t="s">
        <v>366</v>
      </c>
      <c r="E3" t="s">
        <v>14</v>
      </c>
      <c r="F3" s="3">
        <v>1298000</v>
      </c>
      <c r="G3" s="1">
        <v>0.2</v>
      </c>
      <c r="H3" s="3">
        <f>F3*(1-G3)</f>
        <v>1038400</v>
      </c>
    </row>
    <row r="4" spans="1:8" x14ac:dyDescent="0.35">
      <c r="A4">
        <v>707065003</v>
      </c>
      <c r="B4" t="s">
        <v>439</v>
      </c>
      <c r="C4" t="s">
        <v>362</v>
      </c>
      <c r="D4" t="s">
        <v>366</v>
      </c>
      <c r="E4" t="s">
        <v>14</v>
      </c>
      <c r="F4" s="3">
        <v>1298000</v>
      </c>
      <c r="G4" s="1">
        <v>0.2</v>
      </c>
      <c r="H4" s="3">
        <f t="shared" ref="H4:H20" si="0">F4*(1-G4)</f>
        <v>1038400</v>
      </c>
    </row>
    <row r="5" spans="1:8" x14ac:dyDescent="0.35">
      <c r="A5">
        <v>707067002</v>
      </c>
      <c r="B5" t="s">
        <v>440</v>
      </c>
      <c r="C5" t="s">
        <v>362</v>
      </c>
      <c r="D5" t="s">
        <v>366</v>
      </c>
      <c r="E5" t="s">
        <v>14</v>
      </c>
      <c r="F5" s="3">
        <v>1498000</v>
      </c>
      <c r="G5" s="1">
        <v>0.2</v>
      </c>
      <c r="H5" s="3">
        <f t="shared" si="0"/>
        <v>1198400</v>
      </c>
    </row>
    <row r="6" spans="1:8" x14ac:dyDescent="0.35">
      <c r="A6">
        <v>707067003</v>
      </c>
      <c r="B6" t="s">
        <v>441</v>
      </c>
      <c r="C6" t="s">
        <v>362</v>
      </c>
      <c r="D6" t="s">
        <v>366</v>
      </c>
      <c r="E6" t="s">
        <v>14</v>
      </c>
      <c r="F6" s="3">
        <v>1498000</v>
      </c>
      <c r="G6" s="1">
        <v>0.2</v>
      </c>
      <c r="H6" s="3">
        <f t="shared" si="0"/>
        <v>1198400</v>
      </c>
    </row>
    <row r="7" spans="1:8" x14ac:dyDescent="0.35">
      <c r="A7">
        <v>725467001</v>
      </c>
      <c r="B7" t="s">
        <v>442</v>
      </c>
      <c r="C7" t="s">
        <v>362</v>
      </c>
      <c r="D7" t="s">
        <v>366</v>
      </c>
      <c r="E7" t="s">
        <v>14</v>
      </c>
      <c r="F7" s="3">
        <v>3298000</v>
      </c>
      <c r="G7" s="1">
        <v>0.2</v>
      </c>
      <c r="H7" s="3">
        <f t="shared" si="0"/>
        <v>2638400</v>
      </c>
    </row>
    <row r="8" spans="1:8" x14ac:dyDescent="0.35">
      <c r="A8">
        <v>729183001</v>
      </c>
      <c r="B8" t="s">
        <v>443</v>
      </c>
      <c r="C8" t="s">
        <v>362</v>
      </c>
      <c r="D8" t="s">
        <v>366</v>
      </c>
      <c r="E8" t="s">
        <v>14</v>
      </c>
      <c r="F8" s="3">
        <v>1498000</v>
      </c>
      <c r="G8" s="1">
        <v>0.2</v>
      </c>
      <c r="H8" s="3">
        <f t="shared" si="0"/>
        <v>1198400</v>
      </c>
    </row>
    <row r="9" spans="1:8" x14ac:dyDescent="0.35">
      <c r="A9">
        <v>729268001</v>
      </c>
      <c r="B9" t="s">
        <v>444</v>
      </c>
      <c r="C9" t="s">
        <v>362</v>
      </c>
      <c r="D9" t="s">
        <v>366</v>
      </c>
      <c r="E9" t="s">
        <v>14</v>
      </c>
      <c r="F9" s="3">
        <v>5398000</v>
      </c>
      <c r="G9" s="1">
        <v>0.2</v>
      </c>
      <c r="H9" s="3">
        <f t="shared" si="0"/>
        <v>4318400</v>
      </c>
    </row>
    <row r="10" spans="1:8" x14ac:dyDescent="0.35">
      <c r="A10">
        <v>710017001</v>
      </c>
      <c r="B10" t="s">
        <v>554</v>
      </c>
      <c r="C10" t="s">
        <v>555</v>
      </c>
      <c r="D10" t="s">
        <v>366</v>
      </c>
      <c r="E10" t="s">
        <v>14</v>
      </c>
      <c r="F10" s="3">
        <v>1098000</v>
      </c>
      <c r="G10" s="1">
        <v>0.7</v>
      </c>
      <c r="H10" s="3">
        <f t="shared" si="0"/>
        <v>329400.00000000006</v>
      </c>
    </row>
    <row r="11" spans="1:8" x14ac:dyDescent="0.35">
      <c r="A11">
        <v>737235001</v>
      </c>
      <c r="B11" t="s">
        <v>556</v>
      </c>
      <c r="C11" t="s">
        <v>426</v>
      </c>
      <c r="D11" t="s">
        <v>450</v>
      </c>
      <c r="E11" t="s">
        <v>14</v>
      </c>
      <c r="F11" s="3">
        <v>59000</v>
      </c>
      <c r="G11" s="1">
        <v>0.2</v>
      </c>
      <c r="H11" s="3">
        <f t="shared" si="0"/>
        <v>47200</v>
      </c>
    </row>
    <row r="12" spans="1:8" x14ac:dyDescent="0.35">
      <c r="A12">
        <v>730770001</v>
      </c>
      <c r="B12" t="s">
        <v>557</v>
      </c>
      <c r="C12" t="s">
        <v>449</v>
      </c>
      <c r="D12" t="s">
        <v>450</v>
      </c>
      <c r="E12" t="s">
        <v>14</v>
      </c>
      <c r="F12" s="3">
        <v>248000</v>
      </c>
      <c r="G12" s="1">
        <v>0.2</v>
      </c>
      <c r="H12" s="3">
        <f t="shared" si="0"/>
        <v>198400</v>
      </c>
    </row>
    <row r="13" spans="1:8" x14ac:dyDescent="0.35">
      <c r="A13">
        <v>732523001</v>
      </c>
      <c r="B13" t="s">
        <v>448</v>
      </c>
      <c r="C13" t="s">
        <v>449</v>
      </c>
      <c r="D13" t="s">
        <v>450</v>
      </c>
      <c r="E13" t="s">
        <v>14</v>
      </c>
      <c r="F13" s="3">
        <v>248000</v>
      </c>
      <c r="G13" s="1">
        <v>0.2</v>
      </c>
      <c r="H13" s="3">
        <f t="shared" si="0"/>
        <v>198400</v>
      </c>
    </row>
    <row r="14" spans="1:8" x14ac:dyDescent="0.35">
      <c r="A14">
        <v>732787001</v>
      </c>
      <c r="B14" t="s">
        <v>558</v>
      </c>
      <c r="C14" t="s">
        <v>426</v>
      </c>
      <c r="D14" t="s">
        <v>431</v>
      </c>
      <c r="E14" t="s">
        <v>14</v>
      </c>
      <c r="F14" s="3">
        <v>148000</v>
      </c>
      <c r="G14" s="1">
        <v>0.5</v>
      </c>
      <c r="H14" s="3">
        <f t="shared" si="0"/>
        <v>74000</v>
      </c>
    </row>
    <row r="15" spans="1:8" x14ac:dyDescent="0.35">
      <c r="A15">
        <v>727150001</v>
      </c>
      <c r="B15" t="s">
        <v>451</v>
      </c>
      <c r="C15" t="s">
        <v>449</v>
      </c>
      <c r="D15" t="s">
        <v>431</v>
      </c>
      <c r="E15" t="s">
        <v>14</v>
      </c>
      <c r="F15" s="3">
        <v>448000</v>
      </c>
      <c r="G15" s="1">
        <v>0.2</v>
      </c>
      <c r="H15" s="3">
        <f t="shared" si="0"/>
        <v>358400</v>
      </c>
    </row>
    <row r="16" spans="1:8" x14ac:dyDescent="0.35">
      <c r="A16">
        <v>735275001</v>
      </c>
      <c r="B16" t="s">
        <v>559</v>
      </c>
      <c r="C16" t="s">
        <v>449</v>
      </c>
      <c r="D16" t="s">
        <v>431</v>
      </c>
      <c r="E16" t="s">
        <v>14</v>
      </c>
      <c r="F16" s="3">
        <v>278000</v>
      </c>
      <c r="G16" s="1">
        <v>0.2</v>
      </c>
      <c r="H16" s="3">
        <f t="shared" si="0"/>
        <v>222400</v>
      </c>
    </row>
    <row r="17" spans="1:8" x14ac:dyDescent="0.35">
      <c r="A17">
        <v>735275002</v>
      </c>
      <c r="B17" t="s">
        <v>560</v>
      </c>
      <c r="C17" t="s">
        <v>449</v>
      </c>
      <c r="D17" t="s">
        <v>431</v>
      </c>
      <c r="E17" t="s">
        <v>14</v>
      </c>
      <c r="F17" s="3">
        <v>278000</v>
      </c>
      <c r="G17" s="1">
        <v>0.2</v>
      </c>
      <c r="H17" s="3">
        <f t="shared" si="0"/>
        <v>222400</v>
      </c>
    </row>
    <row r="18" spans="1:8" x14ac:dyDescent="0.35">
      <c r="A18">
        <v>735275003</v>
      </c>
      <c r="B18" t="s">
        <v>561</v>
      </c>
      <c r="C18" t="s">
        <v>449</v>
      </c>
      <c r="D18" t="s">
        <v>431</v>
      </c>
      <c r="E18" t="s">
        <v>14</v>
      </c>
      <c r="F18" s="3">
        <v>278000</v>
      </c>
      <c r="G18" s="1">
        <v>0.2</v>
      </c>
      <c r="H18" s="3">
        <f t="shared" si="0"/>
        <v>222400</v>
      </c>
    </row>
    <row r="19" spans="1:8" x14ac:dyDescent="0.35">
      <c r="A19">
        <v>735848001</v>
      </c>
      <c r="B19" t="s">
        <v>453</v>
      </c>
      <c r="C19" t="s">
        <v>449</v>
      </c>
      <c r="D19" t="s">
        <v>431</v>
      </c>
      <c r="E19" t="s">
        <v>14</v>
      </c>
      <c r="F19" s="3">
        <v>498000</v>
      </c>
      <c r="G19" s="1">
        <v>0.2</v>
      </c>
      <c r="H19" s="3">
        <f t="shared" si="0"/>
        <v>398400</v>
      </c>
    </row>
    <row r="20" spans="1:8" x14ac:dyDescent="0.35">
      <c r="A20">
        <v>735848002</v>
      </c>
      <c r="B20" t="s">
        <v>454</v>
      </c>
      <c r="C20" t="s">
        <v>449</v>
      </c>
      <c r="D20" t="s">
        <v>431</v>
      </c>
      <c r="E20" t="s">
        <v>14</v>
      </c>
      <c r="F20" s="3">
        <v>498000</v>
      </c>
      <c r="G20" s="1">
        <v>0.2</v>
      </c>
      <c r="H20" s="3">
        <f t="shared" si="0"/>
        <v>398400</v>
      </c>
    </row>
    <row r="21" spans="1:8" x14ac:dyDescent="0.35">
      <c r="A21">
        <v>200362001</v>
      </c>
      <c r="B21" t="s">
        <v>562</v>
      </c>
      <c r="C21" t="s">
        <v>368</v>
      </c>
      <c r="D21" t="s">
        <v>563</v>
      </c>
      <c r="E21" t="s">
        <v>14</v>
      </c>
      <c r="F21" s="3">
        <v>105000</v>
      </c>
      <c r="G21" s="3">
        <v>85000</v>
      </c>
      <c r="H21" s="4">
        <f>G21</f>
        <v>85000</v>
      </c>
    </row>
    <row r="22" spans="1:8" x14ac:dyDescent="0.35">
      <c r="A22">
        <v>729824006</v>
      </c>
      <c r="B22" t="s">
        <v>564</v>
      </c>
      <c r="C22" t="s">
        <v>565</v>
      </c>
      <c r="D22" t="s">
        <v>13</v>
      </c>
      <c r="E22" t="s">
        <v>14</v>
      </c>
      <c r="F22" s="3">
        <v>138000</v>
      </c>
      <c r="G22" s="1">
        <v>0.5</v>
      </c>
      <c r="H22" s="3">
        <f t="shared" ref="H22:H61" si="1">F22*(1-G22)</f>
        <v>69000</v>
      </c>
    </row>
    <row r="23" spans="1:8" x14ac:dyDescent="0.35">
      <c r="A23">
        <v>729468005</v>
      </c>
      <c r="B23" t="s">
        <v>566</v>
      </c>
      <c r="C23" t="s">
        <v>12</v>
      </c>
      <c r="D23" t="s">
        <v>13</v>
      </c>
      <c r="E23" t="s">
        <v>14</v>
      </c>
      <c r="F23" s="3">
        <v>248000</v>
      </c>
      <c r="G23" s="1">
        <v>0.5</v>
      </c>
      <c r="H23" s="3">
        <f t="shared" si="1"/>
        <v>124000</v>
      </c>
    </row>
    <row r="24" spans="1:8" x14ac:dyDescent="0.35">
      <c r="A24">
        <v>733978001</v>
      </c>
      <c r="B24" t="s">
        <v>567</v>
      </c>
      <c r="C24" t="s">
        <v>12</v>
      </c>
      <c r="D24" t="s">
        <v>13</v>
      </c>
      <c r="E24" t="s">
        <v>14</v>
      </c>
      <c r="F24" s="3">
        <v>398000</v>
      </c>
      <c r="G24" s="1">
        <v>0.5</v>
      </c>
      <c r="H24" s="3">
        <f t="shared" si="1"/>
        <v>199000</v>
      </c>
    </row>
    <row r="25" spans="1:8" x14ac:dyDescent="0.35">
      <c r="A25">
        <v>733978002</v>
      </c>
      <c r="B25" t="s">
        <v>568</v>
      </c>
      <c r="C25" t="s">
        <v>12</v>
      </c>
      <c r="D25" t="s">
        <v>13</v>
      </c>
      <c r="E25" t="s">
        <v>14</v>
      </c>
      <c r="F25" s="3">
        <v>398000</v>
      </c>
      <c r="G25" s="1">
        <v>0.5</v>
      </c>
      <c r="H25" s="3">
        <f t="shared" si="1"/>
        <v>199000</v>
      </c>
    </row>
    <row r="26" spans="1:8" x14ac:dyDescent="0.35">
      <c r="A26">
        <v>723765001</v>
      </c>
      <c r="B26" t="s">
        <v>569</v>
      </c>
      <c r="C26" t="s">
        <v>92</v>
      </c>
      <c r="D26" t="s">
        <v>100</v>
      </c>
      <c r="F26" s="3">
        <v>298000</v>
      </c>
      <c r="G26" s="1">
        <v>0.2</v>
      </c>
      <c r="H26" s="3">
        <f t="shared" si="1"/>
        <v>238400</v>
      </c>
    </row>
    <row r="27" spans="1:8" x14ac:dyDescent="0.35">
      <c r="A27">
        <v>723766001</v>
      </c>
      <c r="B27" t="s">
        <v>570</v>
      </c>
      <c r="C27" t="s">
        <v>92</v>
      </c>
      <c r="D27" t="s">
        <v>100</v>
      </c>
      <c r="F27" s="3">
        <v>298000</v>
      </c>
      <c r="G27" s="1">
        <v>0.2</v>
      </c>
      <c r="H27" s="3">
        <f t="shared" si="1"/>
        <v>238400</v>
      </c>
    </row>
    <row r="28" spans="1:8" x14ac:dyDescent="0.35">
      <c r="A28">
        <v>723823001</v>
      </c>
      <c r="B28" t="s">
        <v>571</v>
      </c>
      <c r="C28" t="s">
        <v>92</v>
      </c>
      <c r="D28" t="s">
        <v>100</v>
      </c>
      <c r="F28" s="3">
        <v>1948000</v>
      </c>
      <c r="G28" s="1">
        <v>0.2</v>
      </c>
      <c r="H28" s="3">
        <f t="shared" si="1"/>
        <v>1558400</v>
      </c>
    </row>
    <row r="29" spans="1:8" x14ac:dyDescent="0.35">
      <c r="A29">
        <v>725708001</v>
      </c>
      <c r="B29" t="s">
        <v>572</v>
      </c>
      <c r="C29" t="s">
        <v>92</v>
      </c>
      <c r="D29" t="s">
        <v>100</v>
      </c>
      <c r="F29" s="3">
        <v>1948000</v>
      </c>
      <c r="G29" s="1">
        <v>0.2</v>
      </c>
      <c r="H29" s="3">
        <f t="shared" si="1"/>
        <v>1558400</v>
      </c>
    </row>
    <row r="30" spans="1:8" x14ac:dyDescent="0.35">
      <c r="A30">
        <v>729781001</v>
      </c>
      <c r="B30" t="s">
        <v>99</v>
      </c>
      <c r="C30" t="s">
        <v>92</v>
      </c>
      <c r="D30" t="s">
        <v>100</v>
      </c>
      <c r="F30" s="3">
        <v>548000</v>
      </c>
      <c r="G30" s="1">
        <v>0.2</v>
      </c>
      <c r="H30" s="3">
        <f t="shared" si="1"/>
        <v>438400</v>
      </c>
    </row>
    <row r="31" spans="1:8" x14ac:dyDescent="0.35">
      <c r="A31">
        <v>732831001</v>
      </c>
      <c r="B31" t="s">
        <v>573</v>
      </c>
      <c r="C31" t="s">
        <v>92</v>
      </c>
      <c r="D31" t="s">
        <v>100</v>
      </c>
      <c r="F31" s="3">
        <v>898000</v>
      </c>
      <c r="G31" s="1">
        <v>0.2</v>
      </c>
      <c r="H31" s="3">
        <f t="shared" si="1"/>
        <v>718400</v>
      </c>
    </row>
    <row r="32" spans="1:8" x14ac:dyDescent="0.35">
      <c r="A32">
        <v>732832001</v>
      </c>
      <c r="B32" t="s">
        <v>574</v>
      </c>
      <c r="C32" t="s">
        <v>92</v>
      </c>
      <c r="D32" t="s">
        <v>100</v>
      </c>
      <c r="F32" s="3">
        <v>898000</v>
      </c>
      <c r="G32" s="1">
        <v>0.2</v>
      </c>
      <c r="H32" s="3">
        <f t="shared" si="1"/>
        <v>718400</v>
      </c>
    </row>
    <row r="33" spans="1:8" x14ac:dyDescent="0.35">
      <c r="A33">
        <v>725252001</v>
      </c>
      <c r="B33" t="s">
        <v>575</v>
      </c>
      <c r="C33" t="s">
        <v>92</v>
      </c>
      <c r="D33" t="s">
        <v>576</v>
      </c>
      <c r="E33" t="s">
        <v>14</v>
      </c>
      <c r="F33" s="3">
        <v>6498000</v>
      </c>
      <c r="G33" s="1">
        <v>0.2</v>
      </c>
      <c r="H33" s="3">
        <f t="shared" si="1"/>
        <v>5198400</v>
      </c>
    </row>
    <row r="34" spans="1:8" x14ac:dyDescent="0.35">
      <c r="A34">
        <v>730040001</v>
      </c>
      <c r="B34" t="s">
        <v>577</v>
      </c>
      <c r="C34" t="s">
        <v>92</v>
      </c>
      <c r="D34" t="s">
        <v>576</v>
      </c>
      <c r="E34" t="s">
        <v>14</v>
      </c>
      <c r="F34" s="3">
        <v>998000</v>
      </c>
      <c r="G34" s="1">
        <v>0.2</v>
      </c>
      <c r="H34" s="3">
        <f t="shared" si="1"/>
        <v>798400</v>
      </c>
    </row>
    <row r="35" spans="1:8" x14ac:dyDescent="0.35">
      <c r="A35">
        <v>730046001</v>
      </c>
      <c r="B35" t="s">
        <v>578</v>
      </c>
      <c r="C35" t="s">
        <v>92</v>
      </c>
      <c r="D35" t="s">
        <v>576</v>
      </c>
      <c r="E35" t="s">
        <v>14</v>
      </c>
      <c r="F35" s="3">
        <v>1698000</v>
      </c>
      <c r="G35" s="1">
        <v>0.2</v>
      </c>
      <c r="H35" s="3">
        <f t="shared" si="1"/>
        <v>1358400</v>
      </c>
    </row>
    <row r="36" spans="1:8" x14ac:dyDescent="0.35">
      <c r="A36">
        <v>730987001</v>
      </c>
      <c r="B36" t="s">
        <v>579</v>
      </c>
      <c r="C36" t="s">
        <v>92</v>
      </c>
      <c r="D36" t="s">
        <v>576</v>
      </c>
      <c r="E36" t="s">
        <v>14</v>
      </c>
      <c r="F36" s="3">
        <v>3898000</v>
      </c>
      <c r="G36" s="1">
        <v>0.2</v>
      </c>
      <c r="H36" s="3">
        <f t="shared" si="1"/>
        <v>3118400</v>
      </c>
    </row>
    <row r="37" spans="1:8" x14ac:dyDescent="0.35">
      <c r="A37">
        <v>730988001</v>
      </c>
      <c r="B37" t="s">
        <v>580</v>
      </c>
      <c r="C37" t="s">
        <v>92</v>
      </c>
      <c r="D37" t="s">
        <v>576</v>
      </c>
      <c r="E37" t="s">
        <v>14</v>
      </c>
      <c r="F37" s="3">
        <v>3898000</v>
      </c>
      <c r="G37" s="1">
        <v>0.2</v>
      </c>
      <c r="H37" s="3">
        <f t="shared" si="1"/>
        <v>3118400</v>
      </c>
    </row>
    <row r="38" spans="1:8" x14ac:dyDescent="0.35">
      <c r="A38">
        <v>731070002</v>
      </c>
      <c r="B38" t="s">
        <v>581</v>
      </c>
      <c r="C38" t="s">
        <v>92</v>
      </c>
      <c r="D38" t="s">
        <v>576</v>
      </c>
      <c r="E38" t="s">
        <v>14</v>
      </c>
      <c r="F38" s="3">
        <v>3148000</v>
      </c>
      <c r="G38" s="1">
        <v>0.2</v>
      </c>
      <c r="H38" s="3">
        <f t="shared" si="1"/>
        <v>2518400</v>
      </c>
    </row>
    <row r="39" spans="1:8" x14ac:dyDescent="0.35">
      <c r="A39">
        <v>731656001</v>
      </c>
      <c r="B39" t="s">
        <v>582</v>
      </c>
      <c r="C39" t="s">
        <v>92</v>
      </c>
      <c r="D39" t="s">
        <v>576</v>
      </c>
      <c r="E39" t="s">
        <v>14</v>
      </c>
      <c r="F39" s="3">
        <v>3148000</v>
      </c>
      <c r="G39" s="1">
        <v>0.2</v>
      </c>
      <c r="H39" s="3">
        <f t="shared" si="1"/>
        <v>2518400</v>
      </c>
    </row>
    <row r="40" spans="1:8" x14ac:dyDescent="0.35">
      <c r="A40">
        <v>732094001</v>
      </c>
      <c r="B40" t="s">
        <v>583</v>
      </c>
      <c r="C40" t="s">
        <v>92</v>
      </c>
      <c r="D40" t="s">
        <v>576</v>
      </c>
      <c r="E40" t="s">
        <v>14</v>
      </c>
      <c r="F40" s="3">
        <v>948000</v>
      </c>
      <c r="G40" s="1">
        <v>0.2</v>
      </c>
      <c r="H40" s="3">
        <f t="shared" si="1"/>
        <v>758400</v>
      </c>
    </row>
    <row r="41" spans="1:8" x14ac:dyDescent="0.35">
      <c r="A41">
        <v>733247001</v>
      </c>
      <c r="B41" t="s">
        <v>584</v>
      </c>
      <c r="C41" t="s">
        <v>92</v>
      </c>
      <c r="D41" t="s">
        <v>576</v>
      </c>
      <c r="E41" t="s">
        <v>14</v>
      </c>
      <c r="F41" s="3">
        <v>3898000</v>
      </c>
      <c r="G41" s="1">
        <v>0.2</v>
      </c>
      <c r="H41" s="3">
        <f t="shared" si="1"/>
        <v>3118400</v>
      </c>
    </row>
    <row r="42" spans="1:8" x14ac:dyDescent="0.35">
      <c r="A42">
        <v>733374001</v>
      </c>
      <c r="B42" t="s">
        <v>585</v>
      </c>
      <c r="C42" t="s">
        <v>92</v>
      </c>
      <c r="D42" t="s">
        <v>576</v>
      </c>
      <c r="E42" t="s">
        <v>14</v>
      </c>
      <c r="F42" s="3">
        <v>528000</v>
      </c>
      <c r="G42" s="1">
        <v>0.2</v>
      </c>
      <c r="H42" s="3">
        <f t="shared" si="1"/>
        <v>422400</v>
      </c>
    </row>
    <row r="43" spans="1:8" x14ac:dyDescent="0.35">
      <c r="A43">
        <v>735507001</v>
      </c>
      <c r="B43" t="s">
        <v>586</v>
      </c>
      <c r="C43" t="s">
        <v>92</v>
      </c>
      <c r="D43" t="s">
        <v>576</v>
      </c>
      <c r="E43" t="s">
        <v>14</v>
      </c>
      <c r="F43" s="3">
        <v>4248000</v>
      </c>
      <c r="G43" s="1">
        <v>0.2</v>
      </c>
      <c r="H43" s="3">
        <f t="shared" si="1"/>
        <v>3398400</v>
      </c>
    </row>
    <row r="44" spans="1:8" x14ac:dyDescent="0.35">
      <c r="A44">
        <v>737423001</v>
      </c>
      <c r="B44" t="s">
        <v>587</v>
      </c>
      <c r="C44" t="s">
        <v>92</v>
      </c>
      <c r="D44" t="s">
        <v>576</v>
      </c>
      <c r="E44" t="s">
        <v>14</v>
      </c>
      <c r="F44" s="3">
        <v>3498000</v>
      </c>
      <c r="G44" s="1">
        <v>0.2</v>
      </c>
      <c r="H44" s="3">
        <f t="shared" si="1"/>
        <v>2798400</v>
      </c>
    </row>
    <row r="45" spans="1:8" x14ac:dyDescent="0.35">
      <c r="A45">
        <v>726820001</v>
      </c>
      <c r="B45" t="s">
        <v>104</v>
      </c>
      <c r="C45" t="s">
        <v>92</v>
      </c>
      <c r="D45" t="s">
        <v>102</v>
      </c>
      <c r="E45" t="s">
        <v>14</v>
      </c>
      <c r="F45" s="3">
        <v>118000</v>
      </c>
      <c r="G45" s="1">
        <v>0.2</v>
      </c>
      <c r="H45" s="3">
        <f t="shared" si="1"/>
        <v>94400</v>
      </c>
    </row>
    <row r="46" spans="1:8" x14ac:dyDescent="0.35">
      <c r="A46">
        <v>726821001</v>
      </c>
      <c r="B46" t="s">
        <v>105</v>
      </c>
      <c r="C46" t="s">
        <v>92</v>
      </c>
      <c r="D46" t="s">
        <v>102</v>
      </c>
      <c r="E46" t="s">
        <v>14</v>
      </c>
      <c r="F46" s="3">
        <v>118000</v>
      </c>
      <c r="G46" s="1">
        <v>0.2</v>
      </c>
      <c r="H46" s="3">
        <f t="shared" si="1"/>
        <v>94400</v>
      </c>
    </row>
    <row r="47" spans="1:8" x14ac:dyDescent="0.35">
      <c r="A47">
        <v>731169001</v>
      </c>
      <c r="B47" t="s">
        <v>588</v>
      </c>
      <c r="C47" t="s">
        <v>92</v>
      </c>
      <c r="D47" t="s">
        <v>102</v>
      </c>
      <c r="E47" t="s">
        <v>14</v>
      </c>
      <c r="F47" s="3">
        <v>1848000</v>
      </c>
      <c r="G47" s="1">
        <v>0.2</v>
      </c>
      <c r="H47" s="3">
        <f t="shared" si="1"/>
        <v>1478400</v>
      </c>
    </row>
    <row r="48" spans="1:8" x14ac:dyDescent="0.35">
      <c r="A48">
        <v>736555001</v>
      </c>
      <c r="B48" t="s">
        <v>101</v>
      </c>
      <c r="C48" t="s">
        <v>92</v>
      </c>
      <c r="D48" t="s">
        <v>102</v>
      </c>
      <c r="E48" t="s">
        <v>14</v>
      </c>
      <c r="F48" s="3">
        <v>748000</v>
      </c>
      <c r="G48" s="1">
        <v>0.2</v>
      </c>
      <c r="H48" s="3">
        <f t="shared" si="1"/>
        <v>598400</v>
      </c>
    </row>
    <row r="49" spans="1:8" x14ac:dyDescent="0.35">
      <c r="A49">
        <v>736556001</v>
      </c>
      <c r="B49" t="s">
        <v>103</v>
      </c>
      <c r="C49" t="s">
        <v>92</v>
      </c>
      <c r="D49" t="s">
        <v>102</v>
      </c>
      <c r="E49" t="s">
        <v>14</v>
      </c>
      <c r="F49" s="3">
        <v>748000</v>
      </c>
      <c r="G49" s="1">
        <v>0.2</v>
      </c>
      <c r="H49" s="3">
        <f t="shared" si="1"/>
        <v>598400</v>
      </c>
    </row>
    <row r="50" spans="1:8" x14ac:dyDescent="0.35">
      <c r="A50">
        <v>708293</v>
      </c>
      <c r="B50" t="s">
        <v>263</v>
      </c>
      <c r="C50" t="s">
        <v>92</v>
      </c>
      <c r="D50" t="s">
        <v>259</v>
      </c>
      <c r="E50" t="s">
        <v>14</v>
      </c>
      <c r="F50" s="3">
        <v>378000</v>
      </c>
      <c r="G50" s="1">
        <v>0.2</v>
      </c>
      <c r="H50" s="3">
        <f t="shared" si="1"/>
        <v>302400</v>
      </c>
    </row>
    <row r="51" spans="1:8" x14ac:dyDescent="0.35">
      <c r="A51">
        <v>730048</v>
      </c>
      <c r="B51" t="s">
        <v>589</v>
      </c>
      <c r="C51" t="s">
        <v>92</v>
      </c>
      <c r="D51" t="s">
        <v>259</v>
      </c>
      <c r="E51" t="s">
        <v>14</v>
      </c>
      <c r="F51" s="3">
        <v>348000</v>
      </c>
      <c r="G51" s="1">
        <v>0.5</v>
      </c>
      <c r="H51" s="3">
        <f t="shared" si="1"/>
        <v>174000</v>
      </c>
    </row>
    <row r="52" spans="1:8" x14ac:dyDescent="0.35">
      <c r="A52">
        <v>730049</v>
      </c>
      <c r="B52" t="s">
        <v>590</v>
      </c>
      <c r="C52" t="s">
        <v>92</v>
      </c>
      <c r="D52" t="s">
        <v>259</v>
      </c>
      <c r="F52" s="3">
        <v>448000</v>
      </c>
      <c r="G52" s="1">
        <v>0.2</v>
      </c>
      <c r="H52" s="3">
        <f t="shared" si="1"/>
        <v>358400</v>
      </c>
    </row>
    <row r="53" spans="1:8" x14ac:dyDescent="0.35">
      <c r="A53">
        <v>733239</v>
      </c>
      <c r="B53" t="s">
        <v>260</v>
      </c>
      <c r="C53" t="s">
        <v>92</v>
      </c>
      <c r="D53" t="s">
        <v>259</v>
      </c>
      <c r="E53" t="s">
        <v>14</v>
      </c>
      <c r="F53" s="3">
        <v>898000</v>
      </c>
      <c r="G53" s="1">
        <v>0.2</v>
      </c>
      <c r="H53" s="3">
        <f t="shared" si="1"/>
        <v>718400</v>
      </c>
    </row>
    <row r="54" spans="1:8" x14ac:dyDescent="0.35">
      <c r="A54">
        <v>733240</v>
      </c>
      <c r="B54" t="s">
        <v>591</v>
      </c>
      <c r="C54" t="s">
        <v>92</v>
      </c>
      <c r="D54" t="s">
        <v>259</v>
      </c>
      <c r="E54" t="s">
        <v>14</v>
      </c>
      <c r="F54" s="3">
        <v>898000</v>
      </c>
      <c r="G54" s="1">
        <v>0.2</v>
      </c>
      <c r="H54" s="3">
        <f t="shared" si="1"/>
        <v>718400</v>
      </c>
    </row>
    <row r="55" spans="1:8" x14ac:dyDescent="0.35">
      <c r="A55">
        <v>733307</v>
      </c>
      <c r="B55" t="s">
        <v>592</v>
      </c>
      <c r="C55" t="s">
        <v>92</v>
      </c>
      <c r="D55" t="s">
        <v>259</v>
      </c>
      <c r="F55" s="3">
        <v>228000</v>
      </c>
      <c r="G55" s="1">
        <v>0.2</v>
      </c>
      <c r="H55" s="3">
        <f t="shared" si="1"/>
        <v>182400</v>
      </c>
    </row>
    <row r="56" spans="1:8" x14ac:dyDescent="0.35">
      <c r="A56">
        <v>733861</v>
      </c>
      <c r="B56" t="s">
        <v>264</v>
      </c>
      <c r="C56" t="s">
        <v>92</v>
      </c>
      <c r="D56" t="s">
        <v>259</v>
      </c>
      <c r="E56" t="s">
        <v>14</v>
      </c>
      <c r="F56" s="3">
        <v>1048000</v>
      </c>
      <c r="G56" s="1">
        <v>0.2</v>
      </c>
      <c r="H56" s="3">
        <f t="shared" si="1"/>
        <v>838400</v>
      </c>
    </row>
    <row r="57" spans="1:8" x14ac:dyDescent="0.35">
      <c r="A57">
        <v>733889</v>
      </c>
      <c r="B57" t="s">
        <v>262</v>
      </c>
      <c r="C57" t="s">
        <v>92</v>
      </c>
      <c r="D57" t="s">
        <v>259</v>
      </c>
      <c r="E57" t="s">
        <v>14</v>
      </c>
      <c r="F57" s="3">
        <v>448000</v>
      </c>
      <c r="G57" s="1">
        <v>0.2</v>
      </c>
      <c r="H57" s="3">
        <f t="shared" si="1"/>
        <v>358400</v>
      </c>
    </row>
    <row r="58" spans="1:8" x14ac:dyDescent="0.35">
      <c r="A58">
        <v>733914</v>
      </c>
      <c r="B58" t="s">
        <v>593</v>
      </c>
      <c r="C58" t="s">
        <v>92</v>
      </c>
      <c r="D58" t="s">
        <v>259</v>
      </c>
      <c r="E58" t="s">
        <v>14</v>
      </c>
      <c r="F58" s="3">
        <v>1048000</v>
      </c>
      <c r="G58" s="1">
        <v>0.2</v>
      </c>
      <c r="H58" s="3">
        <f t="shared" si="1"/>
        <v>838400</v>
      </c>
    </row>
    <row r="59" spans="1:8" x14ac:dyDescent="0.35">
      <c r="A59">
        <v>734893</v>
      </c>
      <c r="B59" t="s">
        <v>594</v>
      </c>
      <c r="C59" t="s">
        <v>92</v>
      </c>
      <c r="D59" t="s">
        <v>259</v>
      </c>
      <c r="E59" t="s">
        <v>14</v>
      </c>
      <c r="F59" s="3">
        <v>128000</v>
      </c>
      <c r="G59" s="1">
        <v>0.5</v>
      </c>
      <c r="H59" s="3">
        <f t="shared" si="1"/>
        <v>64000</v>
      </c>
    </row>
    <row r="60" spans="1:8" x14ac:dyDescent="0.35">
      <c r="A60">
        <v>734894</v>
      </c>
      <c r="B60" t="s">
        <v>595</v>
      </c>
      <c r="C60" t="s">
        <v>92</v>
      </c>
      <c r="D60" t="s">
        <v>259</v>
      </c>
      <c r="E60" t="s">
        <v>14</v>
      </c>
      <c r="F60" s="3">
        <v>168000</v>
      </c>
      <c r="G60" s="1">
        <v>0.5</v>
      </c>
      <c r="H60" s="3">
        <f t="shared" si="1"/>
        <v>84000</v>
      </c>
    </row>
    <row r="61" spans="1:8" x14ac:dyDescent="0.35">
      <c r="A61">
        <v>735483</v>
      </c>
      <c r="B61" t="s">
        <v>261</v>
      </c>
      <c r="C61" t="s">
        <v>92</v>
      </c>
      <c r="D61" t="s">
        <v>259</v>
      </c>
      <c r="E61" t="s">
        <v>14</v>
      </c>
      <c r="F61" s="3">
        <v>278000</v>
      </c>
      <c r="G61" s="1">
        <v>0.2</v>
      </c>
      <c r="H61" s="3">
        <f t="shared" si="1"/>
        <v>222400</v>
      </c>
    </row>
    <row r="62" spans="1:8" x14ac:dyDescent="0.35">
      <c r="A62">
        <v>200032</v>
      </c>
      <c r="B62" t="s">
        <v>596</v>
      </c>
      <c r="C62" t="s">
        <v>368</v>
      </c>
      <c r="D62" t="s">
        <v>597</v>
      </c>
      <c r="E62" t="s">
        <v>14</v>
      </c>
      <c r="F62" s="3">
        <v>99000</v>
      </c>
      <c r="G62" s="3">
        <v>79000</v>
      </c>
      <c r="H62" s="4">
        <f>G62</f>
        <v>79000</v>
      </c>
    </row>
    <row r="63" spans="1:8" x14ac:dyDescent="0.35">
      <c r="A63">
        <v>201776001</v>
      </c>
      <c r="B63" t="s">
        <v>598</v>
      </c>
      <c r="C63" t="s">
        <v>368</v>
      </c>
      <c r="D63" t="s">
        <v>106</v>
      </c>
      <c r="E63" t="s">
        <v>14</v>
      </c>
      <c r="F63" s="3">
        <v>450000</v>
      </c>
      <c r="G63" s="1">
        <v>0.5</v>
      </c>
      <c r="H63" s="3">
        <f>F63*(1-G63)</f>
        <v>225000</v>
      </c>
    </row>
    <row r="64" spans="1:8" x14ac:dyDescent="0.35">
      <c r="A64">
        <v>714839</v>
      </c>
      <c r="B64" t="s">
        <v>599</v>
      </c>
      <c r="C64" t="s">
        <v>92</v>
      </c>
      <c r="D64" t="s">
        <v>106</v>
      </c>
      <c r="E64" t="s">
        <v>14</v>
      </c>
      <c r="F64" s="3">
        <v>22000</v>
      </c>
      <c r="G64" s="3">
        <v>12000</v>
      </c>
      <c r="H64" s="4">
        <f t="shared" ref="H64:H69" si="2">G64</f>
        <v>12000</v>
      </c>
    </row>
    <row r="65" spans="1:8" x14ac:dyDescent="0.35">
      <c r="A65">
        <v>201517001</v>
      </c>
      <c r="B65" t="s">
        <v>600</v>
      </c>
      <c r="C65" t="s">
        <v>92</v>
      </c>
      <c r="D65" t="s">
        <v>106</v>
      </c>
      <c r="E65" t="s">
        <v>14</v>
      </c>
      <c r="F65" s="3">
        <v>12000</v>
      </c>
      <c r="G65" s="3">
        <v>5000</v>
      </c>
      <c r="H65" s="4">
        <f t="shared" si="2"/>
        <v>5000</v>
      </c>
    </row>
    <row r="66" spans="1:8" x14ac:dyDescent="0.35">
      <c r="A66">
        <v>201518001</v>
      </c>
      <c r="B66" t="s">
        <v>107</v>
      </c>
      <c r="C66" t="s">
        <v>92</v>
      </c>
      <c r="D66" t="s">
        <v>106</v>
      </c>
      <c r="E66" t="s">
        <v>14</v>
      </c>
      <c r="F66" s="3">
        <v>9000</v>
      </c>
      <c r="G66" s="3">
        <v>5000</v>
      </c>
      <c r="H66" s="4">
        <f t="shared" si="2"/>
        <v>5000</v>
      </c>
    </row>
    <row r="67" spans="1:8" x14ac:dyDescent="0.35">
      <c r="A67">
        <v>704445001</v>
      </c>
      <c r="B67" t="s">
        <v>108</v>
      </c>
      <c r="C67" t="s">
        <v>92</v>
      </c>
      <c r="D67" t="s">
        <v>106</v>
      </c>
      <c r="E67" t="s">
        <v>14</v>
      </c>
      <c r="F67" s="3">
        <v>49000</v>
      </c>
      <c r="G67" s="3">
        <v>30000</v>
      </c>
      <c r="H67" s="4">
        <f t="shared" si="2"/>
        <v>30000</v>
      </c>
    </row>
    <row r="68" spans="1:8" x14ac:dyDescent="0.35">
      <c r="A68">
        <v>704467001</v>
      </c>
      <c r="B68" t="s">
        <v>601</v>
      </c>
      <c r="C68" t="s">
        <v>92</v>
      </c>
      <c r="D68" t="s">
        <v>106</v>
      </c>
      <c r="E68" t="s">
        <v>14</v>
      </c>
      <c r="F68" s="3">
        <v>74000</v>
      </c>
      <c r="G68" s="3">
        <v>30000</v>
      </c>
      <c r="H68" s="4">
        <f t="shared" si="2"/>
        <v>30000</v>
      </c>
    </row>
    <row r="69" spans="1:8" x14ac:dyDescent="0.35">
      <c r="A69">
        <v>704468001</v>
      </c>
      <c r="B69" t="s">
        <v>602</v>
      </c>
      <c r="C69" t="s">
        <v>92</v>
      </c>
      <c r="D69" t="s">
        <v>106</v>
      </c>
      <c r="E69" t="s">
        <v>14</v>
      </c>
      <c r="F69" s="3">
        <v>74000</v>
      </c>
      <c r="G69" s="3">
        <v>30000</v>
      </c>
      <c r="H69" s="4">
        <f t="shared" si="2"/>
        <v>30000</v>
      </c>
    </row>
    <row r="70" spans="1:8" x14ac:dyDescent="0.35">
      <c r="A70">
        <v>703459</v>
      </c>
      <c r="B70" t="s">
        <v>603</v>
      </c>
      <c r="C70" t="s">
        <v>426</v>
      </c>
      <c r="D70" t="s">
        <v>96</v>
      </c>
      <c r="E70" t="s">
        <v>14</v>
      </c>
      <c r="F70" s="3">
        <v>18000</v>
      </c>
      <c r="G70" s="1">
        <v>0.5</v>
      </c>
      <c r="H70" s="3">
        <f t="shared" ref="H70:H99" si="3">F70*(1-G70)</f>
        <v>9000</v>
      </c>
    </row>
    <row r="71" spans="1:8" x14ac:dyDescent="0.35">
      <c r="A71">
        <v>200062</v>
      </c>
      <c r="B71" t="s">
        <v>604</v>
      </c>
      <c r="C71" t="s">
        <v>368</v>
      </c>
      <c r="D71" t="s">
        <v>96</v>
      </c>
      <c r="E71" t="s">
        <v>14</v>
      </c>
      <c r="F71" s="3">
        <v>280000</v>
      </c>
      <c r="G71" s="1">
        <v>0.5</v>
      </c>
      <c r="H71" s="3">
        <f t="shared" si="3"/>
        <v>140000</v>
      </c>
    </row>
    <row r="72" spans="1:8" x14ac:dyDescent="0.35">
      <c r="A72">
        <v>201688</v>
      </c>
      <c r="B72" t="s">
        <v>605</v>
      </c>
      <c r="C72" t="s">
        <v>368</v>
      </c>
      <c r="D72" t="s">
        <v>96</v>
      </c>
      <c r="E72" t="s">
        <v>14</v>
      </c>
      <c r="F72" s="3">
        <v>175000</v>
      </c>
      <c r="G72" s="1">
        <v>0.5</v>
      </c>
      <c r="H72" s="3">
        <f t="shared" si="3"/>
        <v>87500</v>
      </c>
    </row>
    <row r="73" spans="1:8" x14ac:dyDescent="0.35">
      <c r="A73">
        <v>201771</v>
      </c>
      <c r="B73" t="s">
        <v>606</v>
      </c>
      <c r="C73" t="s">
        <v>368</v>
      </c>
      <c r="D73" t="s">
        <v>96</v>
      </c>
      <c r="E73" t="s">
        <v>14</v>
      </c>
      <c r="F73" s="3">
        <v>950000</v>
      </c>
      <c r="G73" s="1">
        <v>0.5</v>
      </c>
      <c r="H73" s="3">
        <f t="shared" si="3"/>
        <v>475000</v>
      </c>
    </row>
    <row r="74" spans="1:8" x14ac:dyDescent="0.35">
      <c r="A74">
        <v>201772</v>
      </c>
      <c r="B74" t="s">
        <v>607</v>
      </c>
      <c r="C74" t="s">
        <v>368</v>
      </c>
      <c r="D74" t="s">
        <v>96</v>
      </c>
      <c r="E74" t="s">
        <v>14</v>
      </c>
      <c r="F74" s="3">
        <v>210000</v>
      </c>
      <c r="G74" s="1">
        <v>0.5</v>
      </c>
      <c r="H74" s="3">
        <f t="shared" si="3"/>
        <v>105000</v>
      </c>
    </row>
    <row r="75" spans="1:8" x14ac:dyDescent="0.35">
      <c r="A75">
        <v>710834</v>
      </c>
      <c r="B75" t="s">
        <v>114</v>
      </c>
      <c r="C75" t="s">
        <v>92</v>
      </c>
      <c r="D75" t="s">
        <v>96</v>
      </c>
      <c r="E75" t="s">
        <v>14</v>
      </c>
      <c r="F75" s="3">
        <v>2898000</v>
      </c>
      <c r="G75" s="1">
        <v>0.2</v>
      </c>
      <c r="H75" s="3">
        <f t="shared" si="3"/>
        <v>2318400</v>
      </c>
    </row>
    <row r="76" spans="1:8" x14ac:dyDescent="0.35">
      <c r="A76">
        <v>717511</v>
      </c>
      <c r="B76" t="s">
        <v>608</v>
      </c>
      <c r="C76" t="s">
        <v>92</v>
      </c>
      <c r="D76" t="s">
        <v>96</v>
      </c>
      <c r="E76" t="s">
        <v>14</v>
      </c>
      <c r="F76" s="3">
        <v>4798000</v>
      </c>
      <c r="G76" s="1">
        <v>0.5</v>
      </c>
      <c r="H76" s="3">
        <f t="shared" si="3"/>
        <v>2399000</v>
      </c>
    </row>
    <row r="77" spans="1:8" x14ac:dyDescent="0.35">
      <c r="A77">
        <v>717513</v>
      </c>
      <c r="B77" t="s">
        <v>609</v>
      </c>
      <c r="C77" t="s">
        <v>92</v>
      </c>
      <c r="D77" t="s">
        <v>96</v>
      </c>
      <c r="E77" t="s">
        <v>14</v>
      </c>
      <c r="F77" s="3">
        <v>5398000</v>
      </c>
      <c r="G77" s="1">
        <v>0.5</v>
      </c>
      <c r="H77" s="3">
        <f t="shared" si="3"/>
        <v>2699000</v>
      </c>
    </row>
    <row r="78" spans="1:8" x14ac:dyDescent="0.35">
      <c r="A78">
        <v>723753</v>
      </c>
      <c r="B78" t="s">
        <v>610</v>
      </c>
      <c r="C78" t="s">
        <v>92</v>
      </c>
      <c r="D78" t="s">
        <v>96</v>
      </c>
      <c r="F78" s="3">
        <v>1098000</v>
      </c>
      <c r="G78" s="1">
        <v>0.2</v>
      </c>
      <c r="H78" s="3">
        <f t="shared" si="3"/>
        <v>878400</v>
      </c>
    </row>
    <row r="79" spans="1:8" x14ac:dyDescent="0.35">
      <c r="A79">
        <v>724808</v>
      </c>
      <c r="B79" t="s">
        <v>457</v>
      </c>
      <c r="C79" t="s">
        <v>92</v>
      </c>
      <c r="D79" t="s">
        <v>96</v>
      </c>
      <c r="F79" s="3">
        <v>5898000</v>
      </c>
      <c r="G79" s="1">
        <v>0.2</v>
      </c>
      <c r="H79" s="3">
        <f t="shared" si="3"/>
        <v>4718400</v>
      </c>
    </row>
    <row r="80" spans="1:8" x14ac:dyDescent="0.35">
      <c r="A80">
        <v>725219</v>
      </c>
      <c r="B80" t="s">
        <v>611</v>
      </c>
      <c r="C80" t="s">
        <v>92</v>
      </c>
      <c r="D80" t="s">
        <v>96</v>
      </c>
      <c r="E80" t="s">
        <v>14</v>
      </c>
      <c r="F80" s="3">
        <v>248000</v>
      </c>
      <c r="G80" s="1">
        <v>0.5</v>
      </c>
      <c r="H80" s="3">
        <f t="shared" si="3"/>
        <v>124000</v>
      </c>
    </row>
    <row r="81" spans="1:8" x14ac:dyDescent="0.35">
      <c r="A81">
        <v>725947</v>
      </c>
      <c r="B81" t="s">
        <v>109</v>
      </c>
      <c r="C81" t="s">
        <v>92</v>
      </c>
      <c r="D81" t="s">
        <v>96</v>
      </c>
      <c r="E81" t="s">
        <v>14</v>
      </c>
      <c r="F81" s="3">
        <v>578000</v>
      </c>
      <c r="G81" s="1">
        <v>0.2</v>
      </c>
      <c r="H81" s="3">
        <f t="shared" si="3"/>
        <v>462400</v>
      </c>
    </row>
    <row r="82" spans="1:8" x14ac:dyDescent="0.35">
      <c r="A82">
        <v>727171</v>
      </c>
      <c r="B82" t="s">
        <v>612</v>
      </c>
      <c r="C82" t="s">
        <v>92</v>
      </c>
      <c r="D82" t="s">
        <v>96</v>
      </c>
      <c r="E82" t="s">
        <v>14</v>
      </c>
      <c r="F82" s="3">
        <v>548000</v>
      </c>
      <c r="G82" s="1">
        <v>0.5</v>
      </c>
      <c r="H82" s="3">
        <f t="shared" si="3"/>
        <v>274000</v>
      </c>
    </row>
    <row r="83" spans="1:8" x14ac:dyDescent="0.35">
      <c r="A83">
        <v>728240</v>
      </c>
      <c r="B83" t="s">
        <v>613</v>
      </c>
      <c r="C83" t="s">
        <v>92</v>
      </c>
      <c r="D83" t="s">
        <v>96</v>
      </c>
      <c r="E83" t="s">
        <v>14</v>
      </c>
      <c r="F83" s="3">
        <v>6798000</v>
      </c>
      <c r="G83" s="1">
        <v>0.5</v>
      </c>
      <c r="H83" s="3">
        <f t="shared" si="3"/>
        <v>3399000</v>
      </c>
    </row>
    <row r="84" spans="1:8" x14ac:dyDescent="0.35">
      <c r="A84">
        <v>728286</v>
      </c>
      <c r="B84" t="s">
        <v>458</v>
      </c>
      <c r="C84" t="s">
        <v>92</v>
      </c>
      <c r="D84" t="s">
        <v>96</v>
      </c>
      <c r="F84" s="3">
        <v>3698000</v>
      </c>
      <c r="G84" s="1">
        <v>0.2</v>
      </c>
      <c r="H84" s="3">
        <f t="shared" si="3"/>
        <v>2958400</v>
      </c>
    </row>
    <row r="85" spans="1:8" x14ac:dyDescent="0.35">
      <c r="A85">
        <v>729328</v>
      </c>
      <c r="B85" t="s">
        <v>110</v>
      </c>
      <c r="C85" t="s">
        <v>92</v>
      </c>
      <c r="D85" t="s">
        <v>96</v>
      </c>
      <c r="E85" t="s">
        <v>14</v>
      </c>
      <c r="F85" s="3">
        <v>1648000</v>
      </c>
      <c r="G85" s="1">
        <v>0.2</v>
      </c>
      <c r="H85" s="3">
        <f t="shared" si="3"/>
        <v>1318400</v>
      </c>
    </row>
    <row r="86" spans="1:8" x14ac:dyDescent="0.35">
      <c r="A86">
        <v>730016</v>
      </c>
      <c r="B86" t="s">
        <v>115</v>
      </c>
      <c r="C86" t="s">
        <v>92</v>
      </c>
      <c r="D86" t="s">
        <v>96</v>
      </c>
      <c r="E86" t="s">
        <v>14</v>
      </c>
      <c r="F86" s="3">
        <v>1948000</v>
      </c>
      <c r="G86" s="1">
        <v>0.2</v>
      </c>
      <c r="H86" s="3">
        <f t="shared" si="3"/>
        <v>1558400</v>
      </c>
    </row>
    <row r="87" spans="1:8" x14ac:dyDescent="0.35">
      <c r="A87">
        <v>725859</v>
      </c>
      <c r="B87" t="s">
        <v>614</v>
      </c>
      <c r="C87" t="s">
        <v>92</v>
      </c>
      <c r="D87" t="s">
        <v>137</v>
      </c>
      <c r="E87" t="s">
        <v>14</v>
      </c>
      <c r="F87" s="3">
        <v>15980000</v>
      </c>
      <c r="G87" s="1">
        <v>0.5</v>
      </c>
      <c r="H87" s="3">
        <f t="shared" si="3"/>
        <v>7990000</v>
      </c>
    </row>
    <row r="88" spans="1:8" x14ac:dyDescent="0.35">
      <c r="A88">
        <v>727610</v>
      </c>
      <c r="B88" t="s">
        <v>615</v>
      </c>
      <c r="C88" t="s">
        <v>92</v>
      </c>
      <c r="D88" t="s">
        <v>137</v>
      </c>
      <c r="E88" t="s">
        <v>14</v>
      </c>
      <c r="F88" s="3">
        <v>22980000</v>
      </c>
      <c r="G88" s="1">
        <v>0.2</v>
      </c>
      <c r="H88" s="3">
        <f t="shared" si="3"/>
        <v>18384000</v>
      </c>
    </row>
    <row r="89" spans="1:8" x14ac:dyDescent="0.35">
      <c r="A89">
        <v>739506001</v>
      </c>
      <c r="B89" t="s">
        <v>616</v>
      </c>
      <c r="C89" t="s">
        <v>617</v>
      </c>
      <c r="D89" t="s">
        <v>343</v>
      </c>
      <c r="E89" t="s">
        <v>14</v>
      </c>
      <c r="F89" s="3">
        <v>348000</v>
      </c>
      <c r="G89" s="1">
        <v>0.1</v>
      </c>
      <c r="H89" s="3">
        <f t="shared" si="3"/>
        <v>313200</v>
      </c>
    </row>
    <row r="90" spans="1:8" x14ac:dyDescent="0.35">
      <c r="A90">
        <v>739506002</v>
      </c>
      <c r="B90" t="s">
        <v>618</v>
      </c>
      <c r="C90" t="s">
        <v>617</v>
      </c>
      <c r="D90" t="s">
        <v>343</v>
      </c>
      <c r="E90" t="s">
        <v>14</v>
      </c>
      <c r="F90" s="3">
        <v>348000</v>
      </c>
      <c r="G90" s="1">
        <v>0.1</v>
      </c>
      <c r="H90" s="3">
        <f t="shared" si="3"/>
        <v>313200</v>
      </c>
    </row>
    <row r="91" spans="1:8" x14ac:dyDescent="0.35">
      <c r="A91">
        <v>739506003</v>
      </c>
      <c r="B91" t="s">
        <v>619</v>
      </c>
      <c r="C91" t="s">
        <v>617</v>
      </c>
      <c r="D91" t="s">
        <v>343</v>
      </c>
      <c r="E91" t="s">
        <v>14</v>
      </c>
      <c r="F91" s="3">
        <v>348000</v>
      </c>
      <c r="G91" s="1">
        <v>0.1</v>
      </c>
      <c r="H91" s="3">
        <f t="shared" si="3"/>
        <v>313200</v>
      </c>
    </row>
    <row r="92" spans="1:8" x14ac:dyDescent="0.35">
      <c r="A92">
        <v>739909001</v>
      </c>
      <c r="B92" t="s">
        <v>620</v>
      </c>
      <c r="C92" t="s">
        <v>617</v>
      </c>
      <c r="D92" t="s">
        <v>343</v>
      </c>
      <c r="E92" t="s">
        <v>14</v>
      </c>
      <c r="F92" s="3">
        <v>398000</v>
      </c>
      <c r="G92" s="1">
        <v>0.1</v>
      </c>
      <c r="H92" s="3">
        <f t="shared" si="3"/>
        <v>358200</v>
      </c>
    </row>
    <row r="93" spans="1:8" x14ac:dyDescent="0.35">
      <c r="A93">
        <v>739909002</v>
      </c>
      <c r="B93" t="s">
        <v>621</v>
      </c>
      <c r="C93" t="s">
        <v>617</v>
      </c>
      <c r="D93" t="s">
        <v>343</v>
      </c>
      <c r="E93" t="s">
        <v>14</v>
      </c>
      <c r="F93" s="3">
        <v>398000</v>
      </c>
      <c r="G93" s="1">
        <v>0.1</v>
      </c>
      <c r="H93" s="3">
        <f t="shared" si="3"/>
        <v>358200</v>
      </c>
    </row>
    <row r="94" spans="1:8" x14ac:dyDescent="0.35">
      <c r="A94">
        <v>201655</v>
      </c>
      <c r="B94" t="s">
        <v>622</v>
      </c>
      <c r="C94" t="s">
        <v>368</v>
      </c>
      <c r="D94" t="s">
        <v>623</v>
      </c>
      <c r="E94" t="s">
        <v>14</v>
      </c>
      <c r="F94" s="3">
        <v>350000</v>
      </c>
      <c r="G94" s="1">
        <v>0.2</v>
      </c>
      <c r="H94" s="3">
        <f t="shared" si="3"/>
        <v>280000</v>
      </c>
    </row>
    <row r="95" spans="1:8" x14ac:dyDescent="0.35">
      <c r="A95">
        <v>201656</v>
      </c>
      <c r="B95" t="s">
        <v>624</v>
      </c>
      <c r="C95" t="s">
        <v>368</v>
      </c>
      <c r="D95" t="s">
        <v>623</v>
      </c>
      <c r="E95" t="s">
        <v>14</v>
      </c>
      <c r="F95" s="3">
        <v>350000</v>
      </c>
      <c r="G95" s="1">
        <v>0.2</v>
      </c>
      <c r="H95" s="3">
        <f t="shared" si="3"/>
        <v>280000</v>
      </c>
    </row>
    <row r="96" spans="1:8" x14ac:dyDescent="0.35">
      <c r="A96">
        <v>201657</v>
      </c>
      <c r="B96" t="s">
        <v>625</v>
      </c>
      <c r="C96" t="s">
        <v>368</v>
      </c>
      <c r="D96" t="s">
        <v>623</v>
      </c>
      <c r="E96" t="s">
        <v>14</v>
      </c>
      <c r="F96" s="3">
        <v>385000</v>
      </c>
      <c r="G96" s="1">
        <v>0.2</v>
      </c>
      <c r="H96" s="3">
        <f t="shared" si="3"/>
        <v>308000</v>
      </c>
    </row>
    <row r="97" spans="1:8" x14ac:dyDescent="0.35">
      <c r="A97">
        <v>700995</v>
      </c>
      <c r="B97" t="s">
        <v>626</v>
      </c>
      <c r="C97" t="s">
        <v>368</v>
      </c>
      <c r="D97" t="s">
        <v>623</v>
      </c>
      <c r="E97" t="s">
        <v>14</v>
      </c>
      <c r="F97" s="3">
        <v>89000</v>
      </c>
      <c r="G97" s="1">
        <v>0.5</v>
      </c>
      <c r="H97" s="3">
        <f t="shared" si="3"/>
        <v>44500</v>
      </c>
    </row>
    <row r="98" spans="1:8" x14ac:dyDescent="0.35">
      <c r="A98">
        <v>707937</v>
      </c>
      <c r="B98" t="s">
        <v>627</v>
      </c>
      <c r="C98" t="s">
        <v>368</v>
      </c>
      <c r="D98" t="s">
        <v>623</v>
      </c>
      <c r="E98" t="s">
        <v>14</v>
      </c>
      <c r="F98" s="3">
        <v>45000</v>
      </c>
      <c r="G98" s="1">
        <v>0.5</v>
      </c>
      <c r="H98" s="3">
        <f t="shared" si="3"/>
        <v>22500</v>
      </c>
    </row>
    <row r="99" spans="1:8" x14ac:dyDescent="0.35">
      <c r="A99">
        <v>721850</v>
      </c>
      <c r="B99" t="s">
        <v>628</v>
      </c>
      <c r="C99" t="s">
        <v>368</v>
      </c>
      <c r="D99" t="s">
        <v>623</v>
      </c>
      <c r="E99" t="s">
        <v>14</v>
      </c>
      <c r="F99" s="3">
        <v>228000</v>
      </c>
      <c r="G99" s="1">
        <v>0.5</v>
      </c>
      <c r="H99" s="3">
        <f t="shared" si="3"/>
        <v>114000</v>
      </c>
    </row>
    <row r="100" spans="1:8" x14ac:dyDescent="0.35">
      <c r="A100">
        <v>726307</v>
      </c>
      <c r="B100" t="s">
        <v>629</v>
      </c>
      <c r="C100" t="s">
        <v>368</v>
      </c>
      <c r="D100" t="s">
        <v>623</v>
      </c>
      <c r="E100" t="s">
        <v>14</v>
      </c>
      <c r="F100" s="3">
        <v>128000</v>
      </c>
      <c r="G100" s="3">
        <v>88000</v>
      </c>
      <c r="H100" s="4">
        <f>G100</f>
        <v>88000</v>
      </c>
    </row>
    <row r="101" spans="1:8" x14ac:dyDescent="0.35">
      <c r="A101">
        <v>718823</v>
      </c>
      <c r="B101" t="s">
        <v>630</v>
      </c>
      <c r="C101" t="s">
        <v>631</v>
      </c>
      <c r="D101" t="s">
        <v>623</v>
      </c>
      <c r="E101" t="s">
        <v>14</v>
      </c>
      <c r="F101" s="3">
        <v>428000</v>
      </c>
      <c r="G101" s="1">
        <v>0.5</v>
      </c>
      <c r="H101" s="3">
        <f t="shared" ref="H101:H164" si="4">F101*(1-G101)</f>
        <v>214000</v>
      </c>
    </row>
    <row r="102" spans="1:8" x14ac:dyDescent="0.35">
      <c r="A102">
        <v>728896013</v>
      </c>
      <c r="B102" t="s">
        <v>310</v>
      </c>
      <c r="C102" t="s">
        <v>92</v>
      </c>
      <c r="D102" t="s">
        <v>270</v>
      </c>
      <c r="E102" t="s">
        <v>14</v>
      </c>
      <c r="F102" s="3">
        <v>1198000</v>
      </c>
      <c r="G102" s="1">
        <v>0.2</v>
      </c>
      <c r="H102" s="3">
        <f t="shared" si="4"/>
        <v>958400</v>
      </c>
    </row>
    <row r="103" spans="1:8" x14ac:dyDescent="0.35">
      <c r="A103">
        <v>731005004</v>
      </c>
      <c r="B103" t="s">
        <v>311</v>
      </c>
      <c r="C103" t="s">
        <v>92</v>
      </c>
      <c r="D103" t="s">
        <v>270</v>
      </c>
      <c r="E103" t="s">
        <v>14</v>
      </c>
      <c r="F103" s="3">
        <v>2398000</v>
      </c>
      <c r="G103" s="1">
        <v>0.2</v>
      </c>
      <c r="H103" s="3">
        <f t="shared" si="4"/>
        <v>1918400</v>
      </c>
    </row>
    <row r="104" spans="1:8" x14ac:dyDescent="0.35">
      <c r="A104">
        <v>731005006</v>
      </c>
      <c r="B104" t="s">
        <v>312</v>
      </c>
      <c r="C104" t="s">
        <v>92</v>
      </c>
      <c r="D104" t="s">
        <v>270</v>
      </c>
      <c r="E104" t="s">
        <v>14</v>
      </c>
      <c r="F104" s="3">
        <v>2398000</v>
      </c>
      <c r="G104" s="1">
        <v>0.2</v>
      </c>
      <c r="H104" s="3">
        <f t="shared" si="4"/>
        <v>1918400</v>
      </c>
    </row>
    <row r="105" spans="1:8" x14ac:dyDescent="0.35">
      <c r="A105">
        <v>731005007</v>
      </c>
      <c r="B105" t="s">
        <v>632</v>
      </c>
      <c r="C105" t="s">
        <v>92</v>
      </c>
      <c r="D105" t="s">
        <v>270</v>
      </c>
      <c r="E105" t="s">
        <v>14</v>
      </c>
      <c r="F105" s="3">
        <v>2398000</v>
      </c>
      <c r="G105" s="1">
        <v>0.2</v>
      </c>
      <c r="H105" s="3">
        <f t="shared" si="4"/>
        <v>1918400</v>
      </c>
    </row>
    <row r="106" spans="1:8" x14ac:dyDescent="0.35">
      <c r="A106">
        <v>731005016</v>
      </c>
      <c r="B106" t="s">
        <v>313</v>
      </c>
      <c r="C106" t="s">
        <v>92</v>
      </c>
      <c r="D106" t="s">
        <v>270</v>
      </c>
      <c r="E106" t="s">
        <v>14</v>
      </c>
      <c r="F106" s="3">
        <v>2398000</v>
      </c>
      <c r="G106" s="1">
        <v>0.2</v>
      </c>
      <c r="H106" s="3">
        <f t="shared" si="4"/>
        <v>1918400</v>
      </c>
    </row>
    <row r="107" spans="1:8" x14ac:dyDescent="0.35">
      <c r="A107">
        <v>731005020</v>
      </c>
      <c r="B107" t="s">
        <v>633</v>
      </c>
      <c r="C107" t="s">
        <v>92</v>
      </c>
      <c r="D107" t="s">
        <v>270</v>
      </c>
      <c r="E107" t="s">
        <v>14</v>
      </c>
      <c r="F107" s="3">
        <v>2398000</v>
      </c>
      <c r="G107" s="1">
        <v>0.2</v>
      </c>
      <c r="H107" s="3">
        <f t="shared" si="4"/>
        <v>1918400</v>
      </c>
    </row>
    <row r="108" spans="1:8" x14ac:dyDescent="0.35">
      <c r="A108">
        <v>731005021</v>
      </c>
      <c r="B108" t="s">
        <v>634</v>
      </c>
      <c r="C108" t="s">
        <v>92</v>
      </c>
      <c r="D108" t="s">
        <v>270</v>
      </c>
      <c r="E108" t="s">
        <v>14</v>
      </c>
      <c r="F108" s="3">
        <v>2398000</v>
      </c>
      <c r="G108" s="1">
        <v>0.2</v>
      </c>
      <c r="H108" s="3">
        <f t="shared" si="4"/>
        <v>1918400</v>
      </c>
    </row>
    <row r="109" spans="1:8" x14ac:dyDescent="0.35">
      <c r="A109">
        <v>731005023</v>
      </c>
      <c r="B109" t="s">
        <v>314</v>
      </c>
      <c r="C109" t="s">
        <v>92</v>
      </c>
      <c r="D109" t="s">
        <v>270</v>
      </c>
      <c r="E109" t="s">
        <v>14</v>
      </c>
      <c r="F109" s="3">
        <v>2398000</v>
      </c>
      <c r="G109" s="1">
        <v>0.2</v>
      </c>
      <c r="H109" s="3">
        <f t="shared" si="4"/>
        <v>1918400</v>
      </c>
    </row>
    <row r="110" spans="1:8" x14ac:dyDescent="0.35">
      <c r="A110">
        <v>732472010</v>
      </c>
      <c r="B110" t="s">
        <v>279</v>
      </c>
      <c r="C110" t="s">
        <v>92</v>
      </c>
      <c r="D110" t="s">
        <v>270</v>
      </c>
      <c r="E110" t="s">
        <v>14</v>
      </c>
      <c r="F110" s="3">
        <v>848000</v>
      </c>
      <c r="G110" s="1">
        <v>0.2</v>
      </c>
      <c r="H110" s="3">
        <f t="shared" si="4"/>
        <v>678400</v>
      </c>
    </row>
    <row r="111" spans="1:8" x14ac:dyDescent="0.35">
      <c r="A111">
        <v>732472015</v>
      </c>
      <c r="B111" t="s">
        <v>281</v>
      </c>
      <c r="C111" t="s">
        <v>92</v>
      </c>
      <c r="D111" t="s">
        <v>270</v>
      </c>
      <c r="E111" t="s">
        <v>14</v>
      </c>
      <c r="F111" s="3">
        <v>848000</v>
      </c>
      <c r="G111" s="1">
        <v>0.2</v>
      </c>
      <c r="H111" s="3">
        <f t="shared" si="4"/>
        <v>678400</v>
      </c>
    </row>
    <row r="112" spans="1:8" x14ac:dyDescent="0.35">
      <c r="A112">
        <v>732472016</v>
      </c>
      <c r="B112" t="s">
        <v>280</v>
      </c>
      <c r="C112" t="s">
        <v>92</v>
      </c>
      <c r="D112" t="s">
        <v>270</v>
      </c>
      <c r="E112" t="s">
        <v>14</v>
      </c>
      <c r="F112" s="3">
        <v>848000</v>
      </c>
      <c r="G112" s="1">
        <v>0.2</v>
      </c>
      <c r="H112" s="3">
        <f t="shared" si="4"/>
        <v>678400</v>
      </c>
    </row>
    <row r="113" spans="1:8" x14ac:dyDescent="0.35">
      <c r="A113">
        <v>732472017</v>
      </c>
      <c r="B113" t="s">
        <v>635</v>
      </c>
      <c r="C113" t="s">
        <v>92</v>
      </c>
      <c r="D113" t="s">
        <v>270</v>
      </c>
      <c r="E113" t="s">
        <v>14</v>
      </c>
      <c r="F113" s="3">
        <v>848000</v>
      </c>
      <c r="G113" s="1">
        <v>0.2</v>
      </c>
      <c r="H113" s="3">
        <f t="shared" si="4"/>
        <v>678400</v>
      </c>
    </row>
    <row r="114" spans="1:8" x14ac:dyDescent="0.35">
      <c r="A114">
        <v>732472020</v>
      </c>
      <c r="B114" t="s">
        <v>636</v>
      </c>
      <c r="C114" t="s">
        <v>92</v>
      </c>
      <c r="D114" t="s">
        <v>270</v>
      </c>
      <c r="E114" t="s">
        <v>14</v>
      </c>
      <c r="F114" s="3">
        <v>848000</v>
      </c>
      <c r="G114" s="1">
        <v>0.2</v>
      </c>
      <c r="H114" s="3">
        <f t="shared" si="4"/>
        <v>678400</v>
      </c>
    </row>
    <row r="115" spans="1:8" x14ac:dyDescent="0.35">
      <c r="A115">
        <v>732472021</v>
      </c>
      <c r="B115" t="s">
        <v>637</v>
      </c>
      <c r="C115" t="s">
        <v>92</v>
      </c>
      <c r="D115" t="s">
        <v>270</v>
      </c>
      <c r="E115" t="s">
        <v>14</v>
      </c>
      <c r="F115" s="3">
        <v>848000</v>
      </c>
      <c r="G115" s="1">
        <v>0.2</v>
      </c>
      <c r="H115" s="3">
        <f t="shared" si="4"/>
        <v>678400</v>
      </c>
    </row>
    <row r="116" spans="1:8" x14ac:dyDescent="0.35">
      <c r="A116">
        <v>732473004</v>
      </c>
      <c r="B116" t="s">
        <v>638</v>
      </c>
      <c r="C116" t="s">
        <v>92</v>
      </c>
      <c r="D116" t="s">
        <v>270</v>
      </c>
      <c r="E116" t="s">
        <v>14</v>
      </c>
      <c r="F116" s="3">
        <v>1248000</v>
      </c>
      <c r="G116" s="1">
        <v>0.2</v>
      </c>
      <c r="H116" s="3">
        <f t="shared" si="4"/>
        <v>998400</v>
      </c>
    </row>
    <row r="117" spans="1:8" x14ac:dyDescent="0.35">
      <c r="A117">
        <v>732473012</v>
      </c>
      <c r="B117" t="s">
        <v>284</v>
      </c>
      <c r="C117" t="s">
        <v>92</v>
      </c>
      <c r="D117" t="s">
        <v>270</v>
      </c>
      <c r="E117" t="s">
        <v>14</v>
      </c>
      <c r="F117" s="3">
        <v>1248000</v>
      </c>
      <c r="G117" s="1">
        <v>0.2</v>
      </c>
      <c r="H117" s="3">
        <f t="shared" si="4"/>
        <v>998400</v>
      </c>
    </row>
    <row r="118" spans="1:8" x14ac:dyDescent="0.35">
      <c r="A118">
        <v>732473013</v>
      </c>
      <c r="B118" t="s">
        <v>285</v>
      </c>
      <c r="C118" t="s">
        <v>92</v>
      </c>
      <c r="D118" t="s">
        <v>270</v>
      </c>
      <c r="E118" t="s">
        <v>14</v>
      </c>
      <c r="F118" s="3">
        <v>1248000</v>
      </c>
      <c r="G118" s="1">
        <v>0.2</v>
      </c>
      <c r="H118" s="3">
        <f t="shared" si="4"/>
        <v>998400</v>
      </c>
    </row>
    <row r="119" spans="1:8" x14ac:dyDescent="0.35">
      <c r="A119">
        <v>732473015</v>
      </c>
      <c r="B119" t="s">
        <v>286</v>
      </c>
      <c r="C119" t="s">
        <v>92</v>
      </c>
      <c r="D119" t="s">
        <v>270</v>
      </c>
      <c r="E119" t="s">
        <v>14</v>
      </c>
      <c r="F119" s="3">
        <v>1248000</v>
      </c>
      <c r="G119" s="1">
        <v>0.2</v>
      </c>
      <c r="H119" s="3">
        <f t="shared" si="4"/>
        <v>998400</v>
      </c>
    </row>
    <row r="120" spans="1:8" x14ac:dyDescent="0.35">
      <c r="A120">
        <v>732473016</v>
      </c>
      <c r="B120" t="s">
        <v>287</v>
      </c>
      <c r="C120" t="s">
        <v>92</v>
      </c>
      <c r="D120" t="s">
        <v>270</v>
      </c>
      <c r="E120" t="s">
        <v>14</v>
      </c>
      <c r="F120" s="3">
        <v>1248000</v>
      </c>
      <c r="G120" s="1">
        <v>0.2</v>
      </c>
      <c r="H120" s="3">
        <f t="shared" si="4"/>
        <v>998400</v>
      </c>
    </row>
    <row r="121" spans="1:8" x14ac:dyDescent="0.35">
      <c r="A121">
        <v>732473021</v>
      </c>
      <c r="B121" t="s">
        <v>639</v>
      </c>
      <c r="C121" t="s">
        <v>92</v>
      </c>
      <c r="D121" t="s">
        <v>270</v>
      </c>
      <c r="E121" t="s">
        <v>14</v>
      </c>
      <c r="F121" s="3">
        <v>1248000</v>
      </c>
      <c r="G121" s="1">
        <v>0.2</v>
      </c>
      <c r="H121" s="3">
        <f t="shared" si="4"/>
        <v>998400</v>
      </c>
    </row>
    <row r="122" spans="1:8" x14ac:dyDescent="0.35">
      <c r="A122">
        <v>732473022</v>
      </c>
      <c r="B122" t="s">
        <v>289</v>
      </c>
      <c r="C122" t="s">
        <v>92</v>
      </c>
      <c r="D122" t="s">
        <v>270</v>
      </c>
      <c r="E122" t="s">
        <v>14</v>
      </c>
      <c r="F122" s="3">
        <v>1248000</v>
      </c>
      <c r="G122" s="1">
        <v>0.2</v>
      </c>
      <c r="H122" s="3">
        <f t="shared" si="4"/>
        <v>998400</v>
      </c>
    </row>
    <row r="123" spans="1:8" x14ac:dyDescent="0.35">
      <c r="A123">
        <v>732473024</v>
      </c>
      <c r="B123" t="s">
        <v>288</v>
      </c>
      <c r="C123" t="s">
        <v>92</v>
      </c>
      <c r="D123" t="s">
        <v>270</v>
      </c>
      <c r="E123" t="s">
        <v>14</v>
      </c>
      <c r="F123" s="3">
        <v>1248000</v>
      </c>
      <c r="G123" s="1">
        <v>0.2</v>
      </c>
      <c r="H123" s="3">
        <f t="shared" si="4"/>
        <v>998400</v>
      </c>
    </row>
    <row r="124" spans="1:8" x14ac:dyDescent="0.35">
      <c r="A124">
        <v>732473025</v>
      </c>
      <c r="B124" t="s">
        <v>640</v>
      </c>
      <c r="C124" t="s">
        <v>92</v>
      </c>
      <c r="D124" t="s">
        <v>270</v>
      </c>
      <c r="E124" t="s">
        <v>14</v>
      </c>
      <c r="F124" s="3">
        <v>1248000</v>
      </c>
      <c r="G124" s="1">
        <v>0.2</v>
      </c>
      <c r="H124" s="3">
        <f t="shared" si="4"/>
        <v>998400</v>
      </c>
    </row>
    <row r="125" spans="1:8" x14ac:dyDescent="0.35">
      <c r="A125">
        <v>732473027</v>
      </c>
      <c r="B125" t="s">
        <v>282</v>
      </c>
      <c r="C125" t="s">
        <v>92</v>
      </c>
      <c r="D125" t="s">
        <v>270</v>
      </c>
      <c r="E125" t="s">
        <v>14</v>
      </c>
      <c r="F125" s="3">
        <v>1248000</v>
      </c>
      <c r="G125" s="1">
        <v>0.2</v>
      </c>
      <c r="H125" s="3">
        <f t="shared" si="4"/>
        <v>998400</v>
      </c>
    </row>
    <row r="126" spans="1:8" x14ac:dyDescent="0.35">
      <c r="A126">
        <v>732473029</v>
      </c>
      <c r="B126" t="s">
        <v>641</v>
      </c>
      <c r="C126" t="s">
        <v>92</v>
      </c>
      <c r="D126" t="s">
        <v>270</v>
      </c>
      <c r="E126" t="s">
        <v>14</v>
      </c>
      <c r="F126" s="3">
        <v>1248000</v>
      </c>
      <c r="G126" s="1">
        <v>0.2</v>
      </c>
      <c r="H126" s="3">
        <f t="shared" si="4"/>
        <v>998400</v>
      </c>
    </row>
    <row r="127" spans="1:8" x14ac:dyDescent="0.35">
      <c r="A127">
        <v>732473032</v>
      </c>
      <c r="B127" t="s">
        <v>283</v>
      </c>
      <c r="C127" t="s">
        <v>92</v>
      </c>
      <c r="D127" t="s">
        <v>270</v>
      </c>
      <c r="E127" t="s">
        <v>14</v>
      </c>
      <c r="F127" s="3">
        <v>1248000</v>
      </c>
      <c r="G127" s="1">
        <v>0.2</v>
      </c>
      <c r="H127" s="3">
        <f t="shared" si="4"/>
        <v>998400</v>
      </c>
    </row>
    <row r="128" spans="1:8" x14ac:dyDescent="0.35">
      <c r="A128">
        <v>732474010</v>
      </c>
      <c r="B128" t="s">
        <v>642</v>
      </c>
      <c r="C128" t="s">
        <v>92</v>
      </c>
      <c r="D128" t="s">
        <v>270</v>
      </c>
      <c r="E128" t="s">
        <v>14</v>
      </c>
      <c r="F128" s="3">
        <v>3498000</v>
      </c>
      <c r="G128" s="1">
        <v>0.2</v>
      </c>
      <c r="H128" s="3">
        <f t="shared" si="4"/>
        <v>2798400</v>
      </c>
    </row>
    <row r="129" spans="1:8" x14ac:dyDescent="0.35">
      <c r="A129">
        <v>732474011</v>
      </c>
      <c r="B129" t="s">
        <v>301</v>
      </c>
      <c r="C129" t="s">
        <v>92</v>
      </c>
      <c r="D129" t="s">
        <v>270</v>
      </c>
      <c r="E129" t="s">
        <v>14</v>
      </c>
      <c r="F129" s="3">
        <v>3498000</v>
      </c>
      <c r="G129" s="1">
        <v>0.2</v>
      </c>
      <c r="H129" s="3">
        <f t="shared" si="4"/>
        <v>2798400</v>
      </c>
    </row>
    <row r="130" spans="1:8" x14ac:dyDescent="0.35">
      <c r="A130">
        <v>732474012</v>
      </c>
      <c r="B130" t="s">
        <v>302</v>
      </c>
      <c r="C130" t="s">
        <v>92</v>
      </c>
      <c r="D130" t="s">
        <v>270</v>
      </c>
      <c r="E130" t="s">
        <v>14</v>
      </c>
      <c r="F130" s="3">
        <v>3498000</v>
      </c>
      <c r="G130" s="1">
        <v>0.2</v>
      </c>
      <c r="H130" s="3">
        <f t="shared" si="4"/>
        <v>2798400</v>
      </c>
    </row>
    <row r="131" spans="1:8" x14ac:dyDescent="0.35">
      <c r="A131">
        <v>732474014</v>
      </c>
      <c r="B131" t="s">
        <v>304</v>
      </c>
      <c r="C131" t="s">
        <v>92</v>
      </c>
      <c r="D131" t="s">
        <v>270</v>
      </c>
      <c r="E131" t="s">
        <v>14</v>
      </c>
      <c r="F131" s="3">
        <v>3498000</v>
      </c>
      <c r="G131" s="1">
        <v>0.2</v>
      </c>
      <c r="H131" s="3">
        <f t="shared" si="4"/>
        <v>2798400</v>
      </c>
    </row>
    <row r="132" spans="1:8" x14ac:dyDescent="0.35">
      <c r="A132">
        <v>732474015</v>
      </c>
      <c r="B132" t="s">
        <v>305</v>
      </c>
      <c r="C132" t="s">
        <v>92</v>
      </c>
      <c r="D132" t="s">
        <v>270</v>
      </c>
      <c r="E132" t="s">
        <v>14</v>
      </c>
      <c r="F132" s="3">
        <v>3498000</v>
      </c>
      <c r="G132" s="1">
        <v>0.2</v>
      </c>
      <c r="H132" s="3">
        <f t="shared" si="4"/>
        <v>2798400</v>
      </c>
    </row>
    <row r="133" spans="1:8" x14ac:dyDescent="0.35">
      <c r="A133">
        <v>732474016</v>
      </c>
      <c r="B133" t="s">
        <v>643</v>
      </c>
      <c r="C133" t="s">
        <v>92</v>
      </c>
      <c r="D133" t="s">
        <v>270</v>
      </c>
      <c r="F133" s="3">
        <v>3498000</v>
      </c>
      <c r="G133" s="1">
        <v>0.2</v>
      </c>
      <c r="H133" s="3">
        <f t="shared" si="4"/>
        <v>2798400</v>
      </c>
    </row>
    <row r="134" spans="1:8" x14ac:dyDescent="0.35">
      <c r="A134">
        <v>732474017</v>
      </c>
      <c r="B134" t="s">
        <v>644</v>
      </c>
      <c r="C134" t="s">
        <v>92</v>
      </c>
      <c r="D134" t="s">
        <v>270</v>
      </c>
      <c r="E134" t="s">
        <v>14</v>
      </c>
      <c r="F134" s="3">
        <v>3498000</v>
      </c>
      <c r="G134" s="1">
        <v>0.2</v>
      </c>
      <c r="H134" s="3">
        <f t="shared" si="4"/>
        <v>2798400</v>
      </c>
    </row>
    <row r="135" spans="1:8" x14ac:dyDescent="0.35">
      <c r="A135">
        <v>732474018</v>
      </c>
      <c r="B135" t="s">
        <v>303</v>
      </c>
      <c r="C135" t="s">
        <v>92</v>
      </c>
      <c r="D135" t="s">
        <v>270</v>
      </c>
      <c r="E135" t="s">
        <v>14</v>
      </c>
      <c r="F135" s="3">
        <v>3498000</v>
      </c>
      <c r="G135" s="1">
        <v>0.2</v>
      </c>
      <c r="H135" s="3">
        <f t="shared" si="4"/>
        <v>2798400</v>
      </c>
    </row>
    <row r="136" spans="1:8" x14ac:dyDescent="0.35">
      <c r="A136">
        <v>732474020</v>
      </c>
      <c r="B136" t="s">
        <v>645</v>
      </c>
      <c r="C136" t="s">
        <v>92</v>
      </c>
      <c r="D136" t="s">
        <v>270</v>
      </c>
      <c r="E136" t="s">
        <v>14</v>
      </c>
      <c r="F136" s="3">
        <v>3498000</v>
      </c>
      <c r="G136" s="1">
        <v>0.2</v>
      </c>
      <c r="H136" s="3">
        <f t="shared" si="4"/>
        <v>2798400</v>
      </c>
    </row>
    <row r="137" spans="1:8" x14ac:dyDescent="0.35">
      <c r="A137">
        <v>732474021</v>
      </c>
      <c r="B137" t="s">
        <v>306</v>
      </c>
      <c r="C137" t="s">
        <v>92</v>
      </c>
      <c r="D137" t="s">
        <v>270</v>
      </c>
      <c r="E137" t="s">
        <v>14</v>
      </c>
      <c r="F137" s="3">
        <v>3498000</v>
      </c>
      <c r="G137" s="1">
        <v>0.2</v>
      </c>
      <c r="H137" s="3">
        <f t="shared" si="4"/>
        <v>2798400</v>
      </c>
    </row>
    <row r="138" spans="1:8" x14ac:dyDescent="0.35">
      <c r="A138">
        <v>732474022</v>
      </c>
      <c r="B138" t="s">
        <v>646</v>
      </c>
      <c r="C138" t="s">
        <v>92</v>
      </c>
      <c r="D138" t="s">
        <v>270</v>
      </c>
      <c r="E138" t="s">
        <v>14</v>
      </c>
      <c r="F138" s="3">
        <v>3498000</v>
      </c>
      <c r="G138" s="1">
        <v>0.2</v>
      </c>
      <c r="H138" s="3">
        <f t="shared" si="4"/>
        <v>2798400</v>
      </c>
    </row>
    <row r="139" spans="1:8" x14ac:dyDescent="0.35">
      <c r="A139">
        <v>732474028</v>
      </c>
      <c r="B139" t="s">
        <v>647</v>
      </c>
      <c r="C139" t="s">
        <v>92</v>
      </c>
      <c r="D139" t="s">
        <v>270</v>
      </c>
      <c r="E139" t="s">
        <v>14</v>
      </c>
      <c r="F139" s="3">
        <v>3498000</v>
      </c>
      <c r="G139" s="1">
        <v>0.2</v>
      </c>
      <c r="H139" s="3">
        <f t="shared" si="4"/>
        <v>2798400</v>
      </c>
    </row>
    <row r="140" spans="1:8" x14ac:dyDescent="0.35">
      <c r="A140">
        <v>732474029</v>
      </c>
      <c r="B140" t="s">
        <v>648</v>
      </c>
      <c r="C140" t="s">
        <v>92</v>
      </c>
      <c r="D140" t="s">
        <v>270</v>
      </c>
      <c r="E140" t="s">
        <v>14</v>
      </c>
      <c r="F140" s="3">
        <v>3498000</v>
      </c>
      <c r="G140" s="1">
        <v>0.2</v>
      </c>
      <c r="H140" s="3">
        <f t="shared" si="4"/>
        <v>2798400</v>
      </c>
    </row>
    <row r="141" spans="1:8" x14ac:dyDescent="0.35">
      <c r="A141">
        <v>732474030</v>
      </c>
      <c r="B141" t="s">
        <v>300</v>
      </c>
      <c r="C141" t="s">
        <v>92</v>
      </c>
      <c r="D141" t="s">
        <v>270</v>
      </c>
      <c r="E141" t="s">
        <v>14</v>
      </c>
      <c r="F141" s="3">
        <v>3498000</v>
      </c>
      <c r="G141" s="1">
        <v>0.2</v>
      </c>
      <c r="H141" s="3">
        <f t="shared" si="4"/>
        <v>2798400</v>
      </c>
    </row>
    <row r="142" spans="1:8" x14ac:dyDescent="0.35">
      <c r="A142">
        <v>732476001</v>
      </c>
      <c r="B142" t="s">
        <v>649</v>
      </c>
      <c r="C142" t="s">
        <v>92</v>
      </c>
      <c r="D142" t="s">
        <v>270</v>
      </c>
      <c r="E142" t="s">
        <v>14</v>
      </c>
      <c r="F142" s="3">
        <v>998000</v>
      </c>
      <c r="G142" s="1">
        <v>0.2</v>
      </c>
      <c r="H142" s="3">
        <f t="shared" si="4"/>
        <v>798400</v>
      </c>
    </row>
    <row r="143" spans="1:8" x14ac:dyDescent="0.35">
      <c r="A143">
        <v>732476002</v>
      </c>
      <c r="B143" t="s">
        <v>315</v>
      </c>
      <c r="C143" t="s">
        <v>92</v>
      </c>
      <c r="D143" t="s">
        <v>270</v>
      </c>
      <c r="E143" t="s">
        <v>14</v>
      </c>
      <c r="F143" s="3">
        <v>998000</v>
      </c>
      <c r="G143" s="1">
        <v>0.2</v>
      </c>
      <c r="H143" s="3">
        <f t="shared" si="4"/>
        <v>798400</v>
      </c>
    </row>
    <row r="144" spans="1:8" x14ac:dyDescent="0.35">
      <c r="A144">
        <v>732476003</v>
      </c>
      <c r="B144" t="s">
        <v>316</v>
      </c>
      <c r="C144" t="s">
        <v>92</v>
      </c>
      <c r="D144" t="s">
        <v>270</v>
      </c>
      <c r="E144" t="s">
        <v>14</v>
      </c>
      <c r="F144" s="3">
        <v>998000</v>
      </c>
      <c r="G144" s="1">
        <v>0.2</v>
      </c>
      <c r="H144" s="3">
        <f t="shared" si="4"/>
        <v>798400</v>
      </c>
    </row>
    <row r="145" spans="1:8" x14ac:dyDescent="0.35">
      <c r="A145">
        <v>732476004</v>
      </c>
      <c r="B145" t="s">
        <v>317</v>
      </c>
      <c r="C145" t="s">
        <v>92</v>
      </c>
      <c r="D145" t="s">
        <v>270</v>
      </c>
      <c r="E145" t="s">
        <v>14</v>
      </c>
      <c r="F145" s="3">
        <v>998000</v>
      </c>
      <c r="G145" s="1">
        <v>0.2</v>
      </c>
      <c r="H145" s="3">
        <f t="shared" si="4"/>
        <v>798400</v>
      </c>
    </row>
    <row r="146" spans="1:8" x14ac:dyDescent="0.35">
      <c r="A146">
        <v>732476006</v>
      </c>
      <c r="B146" t="s">
        <v>318</v>
      </c>
      <c r="C146" t="s">
        <v>92</v>
      </c>
      <c r="D146" t="s">
        <v>270</v>
      </c>
      <c r="E146" t="s">
        <v>14</v>
      </c>
      <c r="F146" s="3">
        <v>998000</v>
      </c>
      <c r="G146" s="1">
        <v>0.2</v>
      </c>
      <c r="H146" s="3">
        <f t="shared" si="4"/>
        <v>798400</v>
      </c>
    </row>
    <row r="147" spans="1:8" x14ac:dyDescent="0.35">
      <c r="A147">
        <v>732476007</v>
      </c>
      <c r="B147" t="s">
        <v>319</v>
      </c>
      <c r="C147" t="s">
        <v>92</v>
      </c>
      <c r="D147" t="s">
        <v>270</v>
      </c>
      <c r="E147" t="s">
        <v>14</v>
      </c>
      <c r="F147" s="3">
        <v>998000</v>
      </c>
      <c r="G147" s="1">
        <v>0.2</v>
      </c>
      <c r="H147" s="3">
        <f t="shared" si="4"/>
        <v>798400</v>
      </c>
    </row>
    <row r="148" spans="1:8" x14ac:dyDescent="0.35">
      <c r="A148">
        <v>732477006</v>
      </c>
      <c r="B148" t="s">
        <v>650</v>
      </c>
      <c r="C148" t="s">
        <v>92</v>
      </c>
      <c r="D148" t="s">
        <v>270</v>
      </c>
      <c r="E148" t="s">
        <v>14</v>
      </c>
      <c r="F148" s="3">
        <v>978000</v>
      </c>
      <c r="G148" s="1">
        <v>0.2</v>
      </c>
      <c r="H148" s="3">
        <f t="shared" si="4"/>
        <v>782400</v>
      </c>
    </row>
    <row r="149" spans="1:8" x14ac:dyDescent="0.35">
      <c r="A149">
        <v>732477010</v>
      </c>
      <c r="B149" t="s">
        <v>320</v>
      </c>
      <c r="C149" t="s">
        <v>92</v>
      </c>
      <c r="D149" t="s">
        <v>270</v>
      </c>
      <c r="E149" t="s">
        <v>14</v>
      </c>
      <c r="F149" s="3">
        <v>978000</v>
      </c>
      <c r="G149" s="1">
        <v>0.2</v>
      </c>
      <c r="H149" s="3">
        <f t="shared" si="4"/>
        <v>782400</v>
      </c>
    </row>
    <row r="150" spans="1:8" x14ac:dyDescent="0.35">
      <c r="A150">
        <v>732479008</v>
      </c>
      <c r="B150" t="s">
        <v>269</v>
      </c>
      <c r="C150" t="s">
        <v>92</v>
      </c>
      <c r="D150" t="s">
        <v>270</v>
      </c>
      <c r="E150" t="s">
        <v>14</v>
      </c>
      <c r="F150" s="3">
        <v>978000</v>
      </c>
      <c r="G150" s="1">
        <v>0.2</v>
      </c>
      <c r="H150" s="3">
        <f t="shared" si="4"/>
        <v>782400</v>
      </c>
    </row>
    <row r="151" spans="1:8" x14ac:dyDescent="0.35">
      <c r="A151">
        <v>732479020</v>
      </c>
      <c r="B151" t="s">
        <v>271</v>
      </c>
      <c r="C151" t="s">
        <v>92</v>
      </c>
      <c r="D151" t="s">
        <v>270</v>
      </c>
      <c r="E151" t="s">
        <v>14</v>
      </c>
      <c r="F151" s="3">
        <v>978000</v>
      </c>
      <c r="G151" s="1">
        <v>0.2</v>
      </c>
      <c r="H151" s="3">
        <f t="shared" si="4"/>
        <v>782400</v>
      </c>
    </row>
    <row r="152" spans="1:8" x14ac:dyDescent="0.35">
      <c r="A152">
        <v>732480009</v>
      </c>
      <c r="B152" t="s">
        <v>272</v>
      </c>
      <c r="C152" t="s">
        <v>92</v>
      </c>
      <c r="D152" t="s">
        <v>270</v>
      </c>
      <c r="E152" t="s">
        <v>14</v>
      </c>
      <c r="F152" s="3">
        <v>1248000</v>
      </c>
      <c r="G152" s="1">
        <v>0.2</v>
      </c>
      <c r="H152" s="3">
        <f t="shared" si="4"/>
        <v>998400</v>
      </c>
    </row>
    <row r="153" spans="1:8" x14ac:dyDescent="0.35">
      <c r="A153">
        <v>732481008</v>
      </c>
      <c r="B153" t="s">
        <v>274</v>
      </c>
      <c r="C153" t="s">
        <v>92</v>
      </c>
      <c r="D153" t="s">
        <v>270</v>
      </c>
      <c r="E153" t="s">
        <v>14</v>
      </c>
      <c r="F153" s="3">
        <v>948000</v>
      </c>
      <c r="G153" s="1">
        <v>0.2</v>
      </c>
      <c r="H153" s="3">
        <f t="shared" si="4"/>
        <v>758400</v>
      </c>
    </row>
    <row r="154" spans="1:8" x14ac:dyDescent="0.35">
      <c r="A154">
        <v>732481012</v>
      </c>
      <c r="B154" t="s">
        <v>275</v>
      </c>
      <c r="C154" t="s">
        <v>92</v>
      </c>
      <c r="D154" t="s">
        <v>270</v>
      </c>
      <c r="E154" t="s">
        <v>14</v>
      </c>
      <c r="F154" s="3">
        <v>948000</v>
      </c>
      <c r="G154" s="1">
        <v>0.2</v>
      </c>
      <c r="H154" s="3">
        <f t="shared" si="4"/>
        <v>758400</v>
      </c>
    </row>
    <row r="155" spans="1:8" x14ac:dyDescent="0.35">
      <c r="A155">
        <v>732481014</v>
      </c>
      <c r="B155" t="s">
        <v>273</v>
      </c>
      <c r="C155" t="s">
        <v>92</v>
      </c>
      <c r="D155" t="s">
        <v>270</v>
      </c>
      <c r="E155" t="s">
        <v>14</v>
      </c>
      <c r="F155" s="3">
        <v>948000</v>
      </c>
      <c r="G155" s="1">
        <v>0.2</v>
      </c>
      <c r="H155" s="3">
        <f t="shared" si="4"/>
        <v>758400</v>
      </c>
    </row>
    <row r="156" spans="1:8" x14ac:dyDescent="0.35">
      <c r="A156">
        <v>732481015</v>
      </c>
      <c r="B156" t="s">
        <v>276</v>
      </c>
      <c r="C156" t="s">
        <v>92</v>
      </c>
      <c r="D156" t="s">
        <v>270</v>
      </c>
      <c r="E156" t="s">
        <v>14</v>
      </c>
      <c r="F156" s="3">
        <v>948000</v>
      </c>
      <c r="G156" s="1">
        <v>0.2</v>
      </c>
      <c r="H156" s="3">
        <f t="shared" si="4"/>
        <v>758400</v>
      </c>
    </row>
    <row r="157" spans="1:8" x14ac:dyDescent="0.35">
      <c r="A157">
        <v>733238002</v>
      </c>
      <c r="B157" t="s">
        <v>277</v>
      </c>
      <c r="C157" t="s">
        <v>92</v>
      </c>
      <c r="D157" t="s">
        <v>270</v>
      </c>
      <c r="E157" t="s">
        <v>14</v>
      </c>
      <c r="F157" s="3">
        <v>848000</v>
      </c>
      <c r="G157" s="1">
        <v>0.2</v>
      </c>
      <c r="H157" s="3">
        <f t="shared" si="4"/>
        <v>678400</v>
      </c>
    </row>
    <row r="158" spans="1:8" x14ac:dyDescent="0.35">
      <c r="A158">
        <v>733238004</v>
      </c>
      <c r="B158" t="s">
        <v>278</v>
      </c>
      <c r="C158" t="s">
        <v>92</v>
      </c>
      <c r="D158" t="s">
        <v>270</v>
      </c>
      <c r="E158" t="s">
        <v>14</v>
      </c>
      <c r="F158" s="3">
        <v>848000</v>
      </c>
      <c r="G158" s="1">
        <v>0.2</v>
      </c>
      <c r="H158" s="3">
        <f t="shared" si="4"/>
        <v>678400</v>
      </c>
    </row>
    <row r="159" spans="1:8" x14ac:dyDescent="0.35">
      <c r="A159">
        <v>734401001</v>
      </c>
      <c r="B159" t="s">
        <v>299</v>
      </c>
      <c r="C159" t="s">
        <v>92</v>
      </c>
      <c r="D159" t="s">
        <v>270</v>
      </c>
      <c r="E159" t="s">
        <v>14</v>
      </c>
      <c r="F159" s="3">
        <v>3498000</v>
      </c>
      <c r="G159" s="1">
        <v>0.2</v>
      </c>
      <c r="H159" s="3">
        <f t="shared" si="4"/>
        <v>2798400</v>
      </c>
    </row>
    <row r="160" spans="1:8" x14ac:dyDescent="0.35">
      <c r="A160">
        <v>735373012</v>
      </c>
      <c r="B160" t="s">
        <v>651</v>
      </c>
      <c r="C160" t="s">
        <v>92</v>
      </c>
      <c r="D160" t="s">
        <v>270</v>
      </c>
      <c r="E160" t="s">
        <v>14</v>
      </c>
      <c r="F160" s="3">
        <v>1648000</v>
      </c>
      <c r="G160" s="1">
        <v>0.2</v>
      </c>
      <c r="H160" s="3">
        <f t="shared" si="4"/>
        <v>1318400</v>
      </c>
    </row>
    <row r="161" spans="1:8" x14ac:dyDescent="0.35">
      <c r="A161">
        <v>735373013</v>
      </c>
      <c r="B161" t="s">
        <v>292</v>
      </c>
      <c r="C161" t="s">
        <v>92</v>
      </c>
      <c r="D161" t="s">
        <v>270</v>
      </c>
      <c r="E161" t="s">
        <v>14</v>
      </c>
      <c r="F161" s="3">
        <v>1648000</v>
      </c>
      <c r="G161" s="1">
        <v>0.2</v>
      </c>
      <c r="H161" s="3">
        <f t="shared" si="4"/>
        <v>1318400</v>
      </c>
    </row>
    <row r="162" spans="1:8" x14ac:dyDescent="0.35">
      <c r="A162">
        <v>735373017</v>
      </c>
      <c r="B162" t="s">
        <v>291</v>
      </c>
      <c r="C162" t="s">
        <v>92</v>
      </c>
      <c r="D162" t="s">
        <v>270</v>
      </c>
      <c r="E162" t="s">
        <v>14</v>
      </c>
      <c r="F162" s="3">
        <v>1648000</v>
      </c>
      <c r="G162" s="1">
        <v>0.2</v>
      </c>
      <c r="H162" s="3">
        <f t="shared" si="4"/>
        <v>1318400</v>
      </c>
    </row>
    <row r="163" spans="1:8" x14ac:dyDescent="0.35">
      <c r="A163">
        <v>735373021</v>
      </c>
      <c r="B163" t="s">
        <v>652</v>
      </c>
      <c r="C163" t="s">
        <v>92</v>
      </c>
      <c r="D163" t="s">
        <v>270</v>
      </c>
      <c r="E163" t="s">
        <v>14</v>
      </c>
      <c r="F163" s="3">
        <v>1648000</v>
      </c>
      <c r="G163" s="1">
        <v>0.2</v>
      </c>
      <c r="H163" s="3">
        <f t="shared" si="4"/>
        <v>1318400</v>
      </c>
    </row>
    <row r="164" spans="1:8" x14ac:dyDescent="0.35">
      <c r="A164">
        <v>735373023</v>
      </c>
      <c r="B164" t="s">
        <v>653</v>
      </c>
      <c r="C164" t="s">
        <v>92</v>
      </c>
      <c r="D164" t="s">
        <v>270</v>
      </c>
      <c r="E164" t="s">
        <v>14</v>
      </c>
      <c r="F164" s="3">
        <v>1648000</v>
      </c>
      <c r="G164" s="1">
        <v>0.2</v>
      </c>
      <c r="H164" s="3">
        <f t="shared" si="4"/>
        <v>1318400</v>
      </c>
    </row>
    <row r="165" spans="1:8" x14ac:dyDescent="0.35">
      <c r="A165">
        <v>735373026</v>
      </c>
      <c r="B165" t="s">
        <v>294</v>
      </c>
      <c r="C165" t="s">
        <v>92</v>
      </c>
      <c r="D165" t="s">
        <v>270</v>
      </c>
      <c r="E165" t="s">
        <v>14</v>
      </c>
      <c r="F165" s="3">
        <v>1648000</v>
      </c>
      <c r="G165" s="1">
        <v>0.2</v>
      </c>
      <c r="H165" s="3">
        <f t="shared" ref="H165:H212" si="5">F165*(1-G165)</f>
        <v>1318400</v>
      </c>
    </row>
    <row r="166" spans="1:8" x14ac:dyDescent="0.35">
      <c r="A166">
        <v>735373027</v>
      </c>
      <c r="B166" t="s">
        <v>654</v>
      </c>
      <c r="C166" t="s">
        <v>92</v>
      </c>
      <c r="D166" t="s">
        <v>270</v>
      </c>
      <c r="E166" t="s">
        <v>14</v>
      </c>
      <c r="F166" s="3">
        <v>1648000</v>
      </c>
      <c r="G166" s="1">
        <v>0.2</v>
      </c>
      <c r="H166" s="3">
        <f t="shared" si="5"/>
        <v>1318400</v>
      </c>
    </row>
    <row r="167" spans="1:8" x14ac:dyDescent="0.35">
      <c r="A167">
        <v>735373028</v>
      </c>
      <c r="B167" t="s">
        <v>655</v>
      </c>
      <c r="C167" t="s">
        <v>92</v>
      </c>
      <c r="D167" t="s">
        <v>270</v>
      </c>
      <c r="E167" t="s">
        <v>14</v>
      </c>
      <c r="F167" s="3">
        <v>1648000</v>
      </c>
      <c r="G167" s="1">
        <v>0.2</v>
      </c>
      <c r="H167" s="3">
        <f t="shared" si="5"/>
        <v>1318400</v>
      </c>
    </row>
    <row r="168" spans="1:8" x14ac:dyDescent="0.35">
      <c r="A168">
        <v>735373031</v>
      </c>
      <c r="B168" t="s">
        <v>293</v>
      </c>
      <c r="C168" t="s">
        <v>92</v>
      </c>
      <c r="D168" t="s">
        <v>270</v>
      </c>
      <c r="E168" t="s">
        <v>14</v>
      </c>
      <c r="F168" s="3">
        <v>1648000</v>
      </c>
      <c r="G168" s="1">
        <v>0.2</v>
      </c>
      <c r="H168" s="3">
        <f t="shared" si="5"/>
        <v>1318400</v>
      </c>
    </row>
    <row r="169" spans="1:8" x14ac:dyDescent="0.35">
      <c r="A169">
        <v>735373032</v>
      </c>
      <c r="B169" t="s">
        <v>656</v>
      </c>
      <c r="C169" t="s">
        <v>92</v>
      </c>
      <c r="D169" t="s">
        <v>270</v>
      </c>
      <c r="E169" t="s">
        <v>14</v>
      </c>
      <c r="F169" s="3">
        <v>1648000</v>
      </c>
      <c r="G169" s="1">
        <v>0.2</v>
      </c>
      <c r="H169" s="3">
        <f t="shared" si="5"/>
        <v>1318400</v>
      </c>
    </row>
    <row r="170" spans="1:8" x14ac:dyDescent="0.35">
      <c r="A170">
        <v>735373034</v>
      </c>
      <c r="B170" t="s">
        <v>295</v>
      </c>
      <c r="C170" t="s">
        <v>92</v>
      </c>
      <c r="D170" t="s">
        <v>270</v>
      </c>
      <c r="E170" t="s">
        <v>14</v>
      </c>
      <c r="F170" s="3">
        <v>1648000</v>
      </c>
      <c r="G170" s="1">
        <v>0.2</v>
      </c>
      <c r="H170" s="3">
        <f t="shared" si="5"/>
        <v>1318400</v>
      </c>
    </row>
    <row r="171" spans="1:8" x14ac:dyDescent="0.35">
      <c r="A171">
        <v>735374012</v>
      </c>
      <c r="B171" t="s">
        <v>657</v>
      </c>
      <c r="C171" t="s">
        <v>92</v>
      </c>
      <c r="D171" t="s">
        <v>270</v>
      </c>
      <c r="F171" s="3">
        <v>1648000</v>
      </c>
      <c r="G171" s="1">
        <v>0.2</v>
      </c>
      <c r="H171" s="3">
        <f t="shared" si="5"/>
        <v>1318400</v>
      </c>
    </row>
    <row r="172" spans="1:8" x14ac:dyDescent="0.35">
      <c r="A172">
        <v>735374013</v>
      </c>
      <c r="B172" t="s">
        <v>658</v>
      </c>
      <c r="C172" t="s">
        <v>92</v>
      </c>
      <c r="D172" t="s">
        <v>270</v>
      </c>
      <c r="F172" s="3">
        <v>1648000</v>
      </c>
      <c r="G172" s="1">
        <v>0.2</v>
      </c>
      <c r="H172" s="3">
        <f t="shared" si="5"/>
        <v>1318400</v>
      </c>
    </row>
    <row r="173" spans="1:8" x14ac:dyDescent="0.35">
      <c r="A173">
        <v>735374016</v>
      </c>
      <c r="B173" t="s">
        <v>659</v>
      </c>
      <c r="C173" t="s">
        <v>92</v>
      </c>
      <c r="D173" t="s">
        <v>270</v>
      </c>
      <c r="F173" s="3">
        <v>1648000</v>
      </c>
      <c r="G173" s="1">
        <v>0.2</v>
      </c>
      <c r="H173" s="3">
        <f t="shared" si="5"/>
        <v>1318400</v>
      </c>
    </row>
    <row r="174" spans="1:8" x14ac:dyDescent="0.35">
      <c r="A174">
        <v>735374017</v>
      </c>
      <c r="B174" t="s">
        <v>660</v>
      </c>
      <c r="C174" t="s">
        <v>92</v>
      </c>
      <c r="D174" t="s">
        <v>270</v>
      </c>
      <c r="F174" s="3">
        <v>1648000</v>
      </c>
      <c r="G174" s="1">
        <v>0.2</v>
      </c>
      <c r="H174" s="3">
        <f t="shared" si="5"/>
        <v>1318400</v>
      </c>
    </row>
    <row r="175" spans="1:8" x14ac:dyDescent="0.35">
      <c r="A175">
        <v>735374018</v>
      </c>
      <c r="B175" t="s">
        <v>290</v>
      </c>
      <c r="C175" t="s">
        <v>92</v>
      </c>
      <c r="D175" t="s">
        <v>270</v>
      </c>
      <c r="E175" t="s">
        <v>14</v>
      </c>
      <c r="F175" s="3">
        <v>1648000</v>
      </c>
      <c r="G175" s="1">
        <v>0.2</v>
      </c>
      <c r="H175" s="3">
        <f t="shared" si="5"/>
        <v>1318400</v>
      </c>
    </row>
    <row r="176" spans="1:8" x14ac:dyDescent="0.35">
      <c r="A176">
        <v>735375007</v>
      </c>
      <c r="B176" t="s">
        <v>296</v>
      </c>
      <c r="C176" t="s">
        <v>92</v>
      </c>
      <c r="D176" t="s">
        <v>270</v>
      </c>
      <c r="E176" t="s">
        <v>14</v>
      </c>
      <c r="F176" s="3">
        <v>2298000</v>
      </c>
      <c r="G176" s="1">
        <v>0.2</v>
      </c>
      <c r="H176" s="3">
        <f t="shared" si="5"/>
        <v>1838400</v>
      </c>
    </row>
    <row r="177" spans="1:8" x14ac:dyDescent="0.35">
      <c r="A177">
        <v>735375012</v>
      </c>
      <c r="B177" t="s">
        <v>661</v>
      </c>
      <c r="C177" t="s">
        <v>92</v>
      </c>
      <c r="D177" t="s">
        <v>270</v>
      </c>
      <c r="E177" t="s">
        <v>14</v>
      </c>
      <c r="F177" s="3">
        <v>2298000</v>
      </c>
      <c r="G177" s="1">
        <v>0.2</v>
      </c>
      <c r="H177" s="3">
        <f t="shared" si="5"/>
        <v>1838400</v>
      </c>
    </row>
    <row r="178" spans="1:8" x14ac:dyDescent="0.35">
      <c r="A178">
        <v>735375015</v>
      </c>
      <c r="B178" t="s">
        <v>662</v>
      </c>
      <c r="C178" t="s">
        <v>92</v>
      </c>
      <c r="D178" t="s">
        <v>270</v>
      </c>
      <c r="E178" t="s">
        <v>14</v>
      </c>
      <c r="F178" s="3">
        <v>2298000</v>
      </c>
      <c r="G178" s="1">
        <v>0.2</v>
      </c>
      <c r="H178" s="3">
        <f t="shared" si="5"/>
        <v>1838400</v>
      </c>
    </row>
    <row r="179" spans="1:8" x14ac:dyDescent="0.35">
      <c r="A179">
        <v>735375016</v>
      </c>
      <c r="B179" t="s">
        <v>663</v>
      </c>
      <c r="C179" t="s">
        <v>92</v>
      </c>
      <c r="D179" t="s">
        <v>270</v>
      </c>
      <c r="E179" t="s">
        <v>14</v>
      </c>
      <c r="F179" s="3">
        <v>2298000</v>
      </c>
      <c r="G179" s="1">
        <v>0.2</v>
      </c>
      <c r="H179" s="3">
        <f t="shared" si="5"/>
        <v>1838400</v>
      </c>
    </row>
    <row r="180" spans="1:8" x14ac:dyDescent="0.35">
      <c r="A180">
        <v>735375017</v>
      </c>
      <c r="B180" t="s">
        <v>664</v>
      </c>
      <c r="C180" t="s">
        <v>92</v>
      </c>
      <c r="D180" t="s">
        <v>270</v>
      </c>
      <c r="E180" t="s">
        <v>14</v>
      </c>
      <c r="F180" s="3">
        <v>2298000</v>
      </c>
      <c r="G180" s="1">
        <v>0.2</v>
      </c>
      <c r="H180" s="3">
        <f t="shared" si="5"/>
        <v>1838400</v>
      </c>
    </row>
    <row r="181" spans="1:8" x14ac:dyDescent="0.35">
      <c r="A181">
        <v>735375018</v>
      </c>
      <c r="B181" t="s">
        <v>665</v>
      </c>
      <c r="C181" t="s">
        <v>92</v>
      </c>
      <c r="D181" t="s">
        <v>270</v>
      </c>
      <c r="E181" t="s">
        <v>14</v>
      </c>
      <c r="F181" s="3">
        <v>2298000</v>
      </c>
      <c r="G181" s="1">
        <v>0.2</v>
      </c>
      <c r="H181" s="3">
        <f t="shared" si="5"/>
        <v>1838400</v>
      </c>
    </row>
    <row r="182" spans="1:8" x14ac:dyDescent="0.35">
      <c r="A182">
        <v>735375028</v>
      </c>
      <c r="B182" t="s">
        <v>666</v>
      </c>
      <c r="C182" t="s">
        <v>92</v>
      </c>
      <c r="D182" t="s">
        <v>270</v>
      </c>
      <c r="E182" t="s">
        <v>14</v>
      </c>
      <c r="F182" s="3">
        <v>2298000</v>
      </c>
      <c r="G182" s="1">
        <v>0.2</v>
      </c>
      <c r="H182" s="3">
        <f t="shared" si="5"/>
        <v>1838400</v>
      </c>
    </row>
    <row r="183" spans="1:8" x14ac:dyDescent="0.35">
      <c r="A183">
        <v>735375031</v>
      </c>
      <c r="B183" t="s">
        <v>298</v>
      </c>
      <c r="C183" t="s">
        <v>92</v>
      </c>
      <c r="D183" t="s">
        <v>270</v>
      </c>
      <c r="E183" t="s">
        <v>14</v>
      </c>
      <c r="F183" s="3">
        <v>2298000</v>
      </c>
      <c r="G183" s="1">
        <v>0.2</v>
      </c>
      <c r="H183" s="3">
        <f t="shared" si="5"/>
        <v>1838400</v>
      </c>
    </row>
    <row r="184" spans="1:8" x14ac:dyDescent="0.35">
      <c r="A184">
        <v>735375032</v>
      </c>
      <c r="B184" t="s">
        <v>667</v>
      </c>
      <c r="C184" t="s">
        <v>92</v>
      </c>
      <c r="D184" t="s">
        <v>270</v>
      </c>
      <c r="E184" t="s">
        <v>14</v>
      </c>
      <c r="F184" s="3">
        <v>2298000</v>
      </c>
      <c r="G184" s="1">
        <v>0.2</v>
      </c>
      <c r="H184" s="3">
        <f t="shared" si="5"/>
        <v>1838400</v>
      </c>
    </row>
    <row r="185" spans="1:8" x14ac:dyDescent="0.35">
      <c r="A185">
        <v>735375033</v>
      </c>
      <c r="B185" t="s">
        <v>668</v>
      </c>
      <c r="C185" t="s">
        <v>92</v>
      </c>
      <c r="D185" t="s">
        <v>270</v>
      </c>
      <c r="E185" t="s">
        <v>14</v>
      </c>
      <c r="F185" s="3">
        <v>2298000</v>
      </c>
      <c r="G185" s="1">
        <v>0.2</v>
      </c>
      <c r="H185" s="3">
        <f t="shared" si="5"/>
        <v>1838400</v>
      </c>
    </row>
    <row r="186" spans="1:8" x14ac:dyDescent="0.35">
      <c r="A186">
        <v>735375034</v>
      </c>
      <c r="B186" t="s">
        <v>669</v>
      </c>
      <c r="C186" t="s">
        <v>92</v>
      </c>
      <c r="D186" t="s">
        <v>270</v>
      </c>
      <c r="E186" t="s">
        <v>14</v>
      </c>
      <c r="F186" s="3">
        <v>2298000</v>
      </c>
      <c r="G186" s="1">
        <v>0.2</v>
      </c>
      <c r="H186" s="3">
        <f t="shared" si="5"/>
        <v>1838400</v>
      </c>
    </row>
    <row r="187" spans="1:8" x14ac:dyDescent="0.35">
      <c r="A187">
        <v>735375040</v>
      </c>
      <c r="B187" t="s">
        <v>297</v>
      </c>
      <c r="C187" t="s">
        <v>92</v>
      </c>
      <c r="D187" t="s">
        <v>270</v>
      </c>
      <c r="E187" t="s">
        <v>14</v>
      </c>
      <c r="F187" s="3">
        <v>2298000</v>
      </c>
      <c r="G187" s="1">
        <v>0.2</v>
      </c>
      <c r="H187" s="3">
        <f t="shared" si="5"/>
        <v>1838400</v>
      </c>
    </row>
    <row r="188" spans="1:8" x14ac:dyDescent="0.35">
      <c r="A188">
        <v>735375041</v>
      </c>
      <c r="B188" t="s">
        <v>670</v>
      </c>
      <c r="C188" t="s">
        <v>92</v>
      </c>
      <c r="D188" t="s">
        <v>270</v>
      </c>
      <c r="E188" t="s">
        <v>14</v>
      </c>
      <c r="F188" s="3">
        <v>2298000</v>
      </c>
      <c r="G188" s="1">
        <v>0.2</v>
      </c>
      <c r="H188" s="3">
        <f t="shared" si="5"/>
        <v>1838400</v>
      </c>
    </row>
    <row r="189" spans="1:8" x14ac:dyDescent="0.35">
      <c r="A189">
        <v>735377019</v>
      </c>
      <c r="B189" t="s">
        <v>321</v>
      </c>
      <c r="C189" t="s">
        <v>92</v>
      </c>
      <c r="D189" t="s">
        <v>270</v>
      </c>
      <c r="E189" t="s">
        <v>14</v>
      </c>
      <c r="F189" s="3">
        <v>1548000</v>
      </c>
      <c r="G189" s="1">
        <v>0.2</v>
      </c>
      <c r="H189" s="3">
        <f t="shared" si="5"/>
        <v>1238400</v>
      </c>
    </row>
    <row r="190" spans="1:8" x14ac:dyDescent="0.35">
      <c r="A190">
        <v>735378011</v>
      </c>
      <c r="B190" t="s">
        <v>323</v>
      </c>
      <c r="C190" t="s">
        <v>92</v>
      </c>
      <c r="D190" t="s">
        <v>270</v>
      </c>
      <c r="E190" t="s">
        <v>14</v>
      </c>
      <c r="F190" s="3">
        <v>1998000</v>
      </c>
      <c r="G190" s="1">
        <v>0.2</v>
      </c>
      <c r="H190" s="3">
        <f t="shared" si="5"/>
        <v>1598400</v>
      </c>
    </row>
    <row r="191" spans="1:8" x14ac:dyDescent="0.35">
      <c r="A191">
        <v>735378018</v>
      </c>
      <c r="B191" t="s">
        <v>322</v>
      </c>
      <c r="C191" t="s">
        <v>92</v>
      </c>
      <c r="D191" t="s">
        <v>270</v>
      </c>
      <c r="E191" t="s">
        <v>14</v>
      </c>
      <c r="F191" s="3">
        <v>1998000</v>
      </c>
      <c r="G191" s="1">
        <v>0.2</v>
      </c>
      <c r="H191" s="3">
        <f t="shared" si="5"/>
        <v>1598400</v>
      </c>
    </row>
    <row r="192" spans="1:8" x14ac:dyDescent="0.35">
      <c r="A192">
        <v>735378020</v>
      </c>
      <c r="B192" t="s">
        <v>671</v>
      </c>
      <c r="C192" t="s">
        <v>92</v>
      </c>
      <c r="D192" t="s">
        <v>270</v>
      </c>
      <c r="E192" t="s">
        <v>14</v>
      </c>
      <c r="F192" s="3">
        <v>1998000</v>
      </c>
      <c r="G192" s="1">
        <v>0.2</v>
      </c>
      <c r="H192" s="3">
        <f t="shared" si="5"/>
        <v>1598400</v>
      </c>
    </row>
    <row r="193" spans="1:8" x14ac:dyDescent="0.35">
      <c r="A193">
        <v>735379012</v>
      </c>
      <c r="B193" t="s">
        <v>672</v>
      </c>
      <c r="C193" t="s">
        <v>92</v>
      </c>
      <c r="D193" t="s">
        <v>270</v>
      </c>
      <c r="E193" t="s">
        <v>14</v>
      </c>
      <c r="F193" s="3">
        <v>3198000</v>
      </c>
      <c r="G193" s="1">
        <v>0.2</v>
      </c>
      <c r="H193" s="3">
        <f t="shared" si="5"/>
        <v>2558400</v>
      </c>
    </row>
    <row r="194" spans="1:8" x14ac:dyDescent="0.35">
      <c r="A194">
        <v>735380006</v>
      </c>
      <c r="B194" t="s">
        <v>307</v>
      </c>
      <c r="C194" t="s">
        <v>92</v>
      </c>
      <c r="D194" t="s">
        <v>270</v>
      </c>
      <c r="E194" t="s">
        <v>14</v>
      </c>
      <c r="F194" s="3">
        <v>3748000</v>
      </c>
      <c r="G194" s="1">
        <v>0.2</v>
      </c>
      <c r="H194" s="3">
        <f t="shared" si="5"/>
        <v>2998400</v>
      </c>
    </row>
    <row r="195" spans="1:8" x14ac:dyDescent="0.35">
      <c r="A195">
        <v>737392019</v>
      </c>
      <c r="B195" t="s">
        <v>673</v>
      </c>
      <c r="C195" t="s">
        <v>92</v>
      </c>
      <c r="D195" t="s">
        <v>270</v>
      </c>
      <c r="E195" t="s">
        <v>14</v>
      </c>
      <c r="F195" s="3">
        <v>4998000</v>
      </c>
      <c r="G195" s="1">
        <v>0.2</v>
      </c>
      <c r="H195" s="3">
        <f t="shared" si="5"/>
        <v>3998400</v>
      </c>
    </row>
    <row r="196" spans="1:8" x14ac:dyDescent="0.35">
      <c r="A196">
        <v>737392021</v>
      </c>
      <c r="B196" t="s">
        <v>674</v>
      </c>
      <c r="C196" t="s">
        <v>92</v>
      </c>
      <c r="D196" t="s">
        <v>270</v>
      </c>
      <c r="E196" t="s">
        <v>14</v>
      </c>
      <c r="F196" s="3">
        <v>4998000</v>
      </c>
      <c r="G196" s="1">
        <v>0.2</v>
      </c>
      <c r="H196" s="3">
        <f t="shared" si="5"/>
        <v>3998400</v>
      </c>
    </row>
    <row r="197" spans="1:8" x14ac:dyDescent="0.35">
      <c r="A197">
        <v>709785</v>
      </c>
      <c r="B197" t="s">
        <v>675</v>
      </c>
      <c r="C197" t="s">
        <v>368</v>
      </c>
      <c r="D197" t="s">
        <v>676</v>
      </c>
      <c r="E197" t="s">
        <v>14</v>
      </c>
      <c r="F197" s="3">
        <v>378000</v>
      </c>
      <c r="G197" s="1">
        <v>0.7</v>
      </c>
      <c r="H197" s="3">
        <f t="shared" si="5"/>
        <v>113400.00000000001</v>
      </c>
    </row>
    <row r="198" spans="1:8" x14ac:dyDescent="0.35">
      <c r="A198">
        <v>732819</v>
      </c>
      <c r="B198" t="s">
        <v>677</v>
      </c>
      <c r="C198" t="s">
        <v>368</v>
      </c>
      <c r="D198" t="s">
        <v>676</v>
      </c>
      <c r="E198" t="s">
        <v>14</v>
      </c>
      <c r="F198" s="3">
        <v>1998000</v>
      </c>
      <c r="G198" s="1">
        <v>0.2</v>
      </c>
      <c r="H198" s="3">
        <f t="shared" si="5"/>
        <v>1598400</v>
      </c>
    </row>
    <row r="199" spans="1:8" x14ac:dyDescent="0.35">
      <c r="A199">
        <v>732949</v>
      </c>
      <c r="B199" t="s">
        <v>678</v>
      </c>
      <c r="C199" t="s">
        <v>679</v>
      </c>
      <c r="D199" t="s">
        <v>676</v>
      </c>
      <c r="E199" t="s">
        <v>14</v>
      </c>
      <c r="F199" s="3">
        <v>7698000</v>
      </c>
      <c r="G199" s="1">
        <v>0.5</v>
      </c>
      <c r="H199" s="3">
        <f t="shared" si="5"/>
        <v>3849000</v>
      </c>
    </row>
    <row r="200" spans="1:8" x14ac:dyDescent="0.35">
      <c r="A200">
        <v>732951</v>
      </c>
      <c r="B200" t="s">
        <v>680</v>
      </c>
      <c r="C200" t="s">
        <v>679</v>
      </c>
      <c r="D200" t="s">
        <v>676</v>
      </c>
      <c r="E200" t="s">
        <v>14</v>
      </c>
      <c r="F200" s="3">
        <v>7698000</v>
      </c>
      <c r="G200" s="1">
        <v>0.5</v>
      </c>
      <c r="H200" s="3">
        <f t="shared" si="5"/>
        <v>3849000</v>
      </c>
    </row>
    <row r="201" spans="1:8" x14ac:dyDescent="0.35">
      <c r="A201">
        <v>732952</v>
      </c>
      <c r="B201" t="s">
        <v>681</v>
      </c>
      <c r="C201" t="s">
        <v>679</v>
      </c>
      <c r="D201" t="s">
        <v>676</v>
      </c>
      <c r="E201" t="s">
        <v>14</v>
      </c>
      <c r="F201" s="3">
        <v>16298000</v>
      </c>
      <c r="G201" s="1">
        <v>0.5</v>
      </c>
      <c r="H201" s="3">
        <f t="shared" si="5"/>
        <v>8149000</v>
      </c>
    </row>
    <row r="202" spans="1:8" x14ac:dyDescent="0.35">
      <c r="A202">
        <v>733852</v>
      </c>
      <c r="B202" t="s">
        <v>682</v>
      </c>
      <c r="C202" t="s">
        <v>679</v>
      </c>
      <c r="D202" t="s">
        <v>676</v>
      </c>
      <c r="E202" t="s">
        <v>14</v>
      </c>
      <c r="F202" s="3">
        <v>11980000</v>
      </c>
      <c r="G202" s="1">
        <v>0.5</v>
      </c>
      <c r="H202" s="3">
        <f t="shared" si="5"/>
        <v>5990000</v>
      </c>
    </row>
    <row r="203" spans="1:8" x14ac:dyDescent="0.35">
      <c r="A203">
        <v>735780</v>
      </c>
      <c r="B203" t="s">
        <v>683</v>
      </c>
      <c r="C203" t="s">
        <v>679</v>
      </c>
      <c r="D203" t="s">
        <v>676</v>
      </c>
      <c r="E203" t="s">
        <v>14</v>
      </c>
      <c r="F203" s="3">
        <v>8198000</v>
      </c>
      <c r="G203" s="1">
        <v>0.5</v>
      </c>
      <c r="H203" s="3">
        <f t="shared" si="5"/>
        <v>4099000</v>
      </c>
    </row>
    <row r="204" spans="1:8" x14ac:dyDescent="0.35">
      <c r="A204">
        <v>732651003</v>
      </c>
      <c r="B204" t="s">
        <v>684</v>
      </c>
      <c r="C204" t="s">
        <v>685</v>
      </c>
      <c r="D204" t="s">
        <v>686</v>
      </c>
      <c r="E204" t="s">
        <v>14</v>
      </c>
      <c r="F204" s="3">
        <v>61000000</v>
      </c>
      <c r="G204" s="1">
        <v>0.3</v>
      </c>
      <c r="H204" s="3">
        <f t="shared" si="5"/>
        <v>42700000</v>
      </c>
    </row>
    <row r="205" spans="1:8" x14ac:dyDescent="0.35">
      <c r="A205">
        <v>733436003</v>
      </c>
      <c r="B205" t="s">
        <v>687</v>
      </c>
      <c r="C205" t="s">
        <v>685</v>
      </c>
      <c r="D205" t="s">
        <v>686</v>
      </c>
      <c r="E205" t="s">
        <v>14</v>
      </c>
      <c r="F205" s="3">
        <v>80000000</v>
      </c>
      <c r="G205" s="1">
        <v>0.3</v>
      </c>
      <c r="H205" s="3">
        <f t="shared" si="5"/>
        <v>56000000</v>
      </c>
    </row>
    <row r="206" spans="1:8" x14ac:dyDescent="0.35">
      <c r="A206">
        <v>733436004</v>
      </c>
      <c r="B206" t="s">
        <v>688</v>
      </c>
      <c r="C206" t="s">
        <v>685</v>
      </c>
      <c r="D206" t="s">
        <v>686</v>
      </c>
      <c r="E206" t="s">
        <v>14</v>
      </c>
      <c r="F206" s="3">
        <v>80000000</v>
      </c>
      <c r="G206" s="1">
        <v>0.3</v>
      </c>
      <c r="H206" s="3">
        <f t="shared" si="5"/>
        <v>56000000</v>
      </c>
    </row>
    <row r="207" spans="1:8" x14ac:dyDescent="0.35">
      <c r="A207">
        <v>736994001</v>
      </c>
      <c r="B207" t="s">
        <v>689</v>
      </c>
      <c r="C207" t="s">
        <v>685</v>
      </c>
      <c r="D207" t="s">
        <v>686</v>
      </c>
      <c r="E207" t="s">
        <v>14</v>
      </c>
      <c r="F207" s="3">
        <v>80000000</v>
      </c>
      <c r="G207" s="1">
        <v>0.2</v>
      </c>
      <c r="H207" s="3">
        <f t="shared" si="5"/>
        <v>64000000</v>
      </c>
    </row>
    <row r="208" spans="1:8" x14ac:dyDescent="0.35">
      <c r="A208">
        <v>732317004</v>
      </c>
      <c r="B208" t="s">
        <v>690</v>
      </c>
      <c r="C208" t="s">
        <v>449</v>
      </c>
      <c r="D208" t="s">
        <v>686</v>
      </c>
      <c r="E208" t="s">
        <v>14</v>
      </c>
      <c r="F208" s="3">
        <v>22480000</v>
      </c>
      <c r="G208" s="1">
        <v>0.2</v>
      </c>
      <c r="H208" s="3">
        <f t="shared" si="5"/>
        <v>17984000</v>
      </c>
    </row>
    <row r="209" spans="1:8" x14ac:dyDescent="0.35">
      <c r="A209">
        <v>732321001</v>
      </c>
      <c r="B209" t="s">
        <v>691</v>
      </c>
      <c r="C209" t="s">
        <v>449</v>
      </c>
      <c r="D209" t="s">
        <v>686</v>
      </c>
      <c r="E209" t="s">
        <v>14</v>
      </c>
      <c r="F209" s="3">
        <v>22280000</v>
      </c>
      <c r="G209" s="1">
        <v>0.2</v>
      </c>
      <c r="H209" s="3">
        <f t="shared" si="5"/>
        <v>17824000</v>
      </c>
    </row>
    <row r="210" spans="1:8" x14ac:dyDescent="0.35">
      <c r="A210">
        <v>732931003</v>
      </c>
      <c r="B210" t="s">
        <v>692</v>
      </c>
      <c r="C210" t="s">
        <v>449</v>
      </c>
      <c r="D210" t="s">
        <v>686</v>
      </c>
      <c r="E210" t="s">
        <v>14</v>
      </c>
      <c r="F210" s="3">
        <v>20980000</v>
      </c>
      <c r="G210" s="1">
        <v>0.2</v>
      </c>
      <c r="H210" s="3">
        <f t="shared" si="5"/>
        <v>16784000</v>
      </c>
    </row>
    <row r="211" spans="1:8" x14ac:dyDescent="0.35">
      <c r="A211">
        <v>738466001</v>
      </c>
      <c r="B211" t="s">
        <v>693</v>
      </c>
      <c r="C211" t="s">
        <v>449</v>
      </c>
      <c r="D211" t="s">
        <v>686</v>
      </c>
      <c r="E211" t="s">
        <v>14</v>
      </c>
      <c r="F211" s="3">
        <v>23980000</v>
      </c>
      <c r="G211" s="1">
        <v>0.2</v>
      </c>
      <c r="H211" s="3">
        <f t="shared" si="5"/>
        <v>19184000</v>
      </c>
    </row>
    <row r="212" spans="1:8" x14ac:dyDescent="0.35">
      <c r="A212">
        <v>700358</v>
      </c>
      <c r="B212" t="s">
        <v>694</v>
      </c>
      <c r="C212" t="s">
        <v>426</v>
      </c>
      <c r="D212" t="s">
        <v>695</v>
      </c>
      <c r="E212" t="s">
        <v>14</v>
      </c>
      <c r="F212" s="3">
        <v>25000</v>
      </c>
      <c r="G212" s="1">
        <v>0.7</v>
      </c>
      <c r="H212" s="3">
        <f t="shared" si="5"/>
        <v>7500.0000000000009</v>
      </c>
    </row>
    <row r="213" spans="1:8" x14ac:dyDescent="0.35">
      <c r="A213">
        <v>724151</v>
      </c>
      <c r="B213" t="s">
        <v>696</v>
      </c>
      <c r="C213" t="s">
        <v>679</v>
      </c>
      <c r="D213" t="s">
        <v>695</v>
      </c>
      <c r="E213" t="s">
        <v>14</v>
      </c>
      <c r="F213" s="3">
        <v>148000</v>
      </c>
      <c r="G213" s="3">
        <v>50000</v>
      </c>
      <c r="H213" s="4">
        <f>G213</f>
        <v>50000</v>
      </c>
    </row>
    <row r="214" spans="1:8" x14ac:dyDescent="0.35">
      <c r="A214">
        <v>724152</v>
      </c>
      <c r="B214" t="s">
        <v>697</v>
      </c>
      <c r="C214" t="s">
        <v>679</v>
      </c>
      <c r="D214" t="s">
        <v>695</v>
      </c>
      <c r="E214" t="s">
        <v>14</v>
      </c>
      <c r="F214" s="3">
        <v>148000</v>
      </c>
      <c r="G214" s="3">
        <v>50000</v>
      </c>
      <c r="H214" s="4">
        <f>G214</f>
        <v>50000</v>
      </c>
    </row>
    <row r="215" spans="1:8" x14ac:dyDescent="0.35">
      <c r="A215">
        <v>729286</v>
      </c>
      <c r="B215" t="s">
        <v>698</v>
      </c>
      <c r="C215" t="s">
        <v>679</v>
      </c>
      <c r="D215" t="s">
        <v>695</v>
      </c>
      <c r="E215" t="s">
        <v>14</v>
      </c>
      <c r="F215" s="3">
        <v>928000</v>
      </c>
      <c r="G215" s="1">
        <v>0.5</v>
      </c>
      <c r="H215" s="3">
        <f t="shared" ref="H215:H278" si="6">F215*(1-G215)</f>
        <v>464000</v>
      </c>
    </row>
    <row r="216" spans="1:8" x14ac:dyDescent="0.35">
      <c r="A216">
        <v>729287</v>
      </c>
      <c r="B216" t="s">
        <v>699</v>
      </c>
      <c r="C216" t="s">
        <v>679</v>
      </c>
      <c r="D216" t="s">
        <v>695</v>
      </c>
      <c r="E216" t="s">
        <v>14</v>
      </c>
      <c r="F216" s="3">
        <v>1148000</v>
      </c>
      <c r="G216" s="1">
        <v>0.5</v>
      </c>
      <c r="H216" s="3">
        <f t="shared" si="6"/>
        <v>574000</v>
      </c>
    </row>
    <row r="217" spans="1:8" x14ac:dyDescent="0.35">
      <c r="A217">
        <v>729288</v>
      </c>
      <c r="B217" t="s">
        <v>700</v>
      </c>
      <c r="C217" t="s">
        <v>679</v>
      </c>
      <c r="D217" t="s">
        <v>695</v>
      </c>
      <c r="E217" t="s">
        <v>14</v>
      </c>
      <c r="F217" s="3">
        <v>748000</v>
      </c>
      <c r="G217" s="1">
        <v>0.5</v>
      </c>
      <c r="H217" s="3">
        <f t="shared" si="6"/>
        <v>374000</v>
      </c>
    </row>
    <row r="218" spans="1:8" x14ac:dyDescent="0.35">
      <c r="A218">
        <v>729289</v>
      </c>
      <c r="B218" t="s">
        <v>701</v>
      </c>
      <c r="C218" t="s">
        <v>679</v>
      </c>
      <c r="D218" t="s">
        <v>695</v>
      </c>
      <c r="E218" t="s">
        <v>14</v>
      </c>
      <c r="F218" s="3">
        <v>998000</v>
      </c>
      <c r="G218" s="1">
        <v>0.5</v>
      </c>
      <c r="H218" s="3">
        <f t="shared" si="6"/>
        <v>499000</v>
      </c>
    </row>
    <row r="219" spans="1:8" x14ac:dyDescent="0.35">
      <c r="A219">
        <v>730624</v>
      </c>
      <c r="B219" t="s">
        <v>702</v>
      </c>
      <c r="C219" t="s">
        <v>679</v>
      </c>
      <c r="D219" t="s">
        <v>695</v>
      </c>
      <c r="E219" t="s">
        <v>14</v>
      </c>
      <c r="F219" s="3">
        <v>928000</v>
      </c>
      <c r="G219" s="1">
        <v>0.5</v>
      </c>
      <c r="H219" s="3">
        <f t="shared" si="6"/>
        <v>464000</v>
      </c>
    </row>
    <row r="220" spans="1:8" x14ac:dyDescent="0.35">
      <c r="A220">
        <v>730625</v>
      </c>
      <c r="B220" t="s">
        <v>703</v>
      </c>
      <c r="C220" t="s">
        <v>679</v>
      </c>
      <c r="D220" t="s">
        <v>695</v>
      </c>
      <c r="E220" t="s">
        <v>14</v>
      </c>
      <c r="F220" s="3">
        <v>1148000</v>
      </c>
      <c r="G220" s="1">
        <v>0.5</v>
      </c>
      <c r="H220" s="3">
        <f t="shared" si="6"/>
        <v>574000</v>
      </c>
    </row>
    <row r="221" spans="1:8" x14ac:dyDescent="0.35">
      <c r="A221">
        <v>730974</v>
      </c>
      <c r="B221" t="s">
        <v>704</v>
      </c>
      <c r="C221" t="s">
        <v>555</v>
      </c>
      <c r="D221" t="s">
        <v>695</v>
      </c>
      <c r="E221" t="s">
        <v>14</v>
      </c>
      <c r="F221" s="3">
        <v>348000</v>
      </c>
      <c r="G221" s="1">
        <v>0.7</v>
      </c>
      <c r="H221" s="3">
        <f t="shared" si="6"/>
        <v>104400.00000000001</v>
      </c>
    </row>
    <row r="222" spans="1:8" x14ac:dyDescent="0.35">
      <c r="A222">
        <v>717381</v>
      </c>
      <c r="B222" t="s">
        <v>705</v>
      </c>
      <c r="C222" t="s">
        <v>555</v>
      </c>
      <c r="D222" t="s">
        <v>706</v>
      </c>
      <c r="E222" t="s">
        <v>14</v>
      </c>
      <c r="F222" s="3">
        <v>298000</v>
      </c>
      <c r="G222" s="1">
        <v>0.7</v>
      </c>
      <c r="H222" s="3">
        <f t="shared" si="6"/>
        <v>89400.000000000015</v>
      </c>
    </row>
    <row r="223" spans="1:8" x14ac:dyDescent="0.35">
      <c r="A223">
        <v>730972</v>
      </c>
      <c r="B223" t="s">
        <v>707</v>
      </c>
      <c r="C223" t="s">
        <v>555</v>
      </c>
      <c r="D223" t="s">
        <v>706</v>
      </c>
      <c r="E223" t="s">
        <v>14</v>
      </c>
      <c r="F223" s="3">
        <v>198000</v>
      </c>
      <c r="G223" s="1">
        <v>0.7</v>
      </c>
      <c r="H223" s="3">
        <f t="shared" si="6"/>
        <v>59400.000000000007</v>
      </c>
    </row>
    <row r="224" spans="1:8" x14ac:dyDescent="0.35">
      <c r="A224">
        <v>717518001</v>
      </c>
      <c r="B224" t="s">
        <v>708</v>
      </c>
      <c r="C224" t="s">
        <v>92</v>
      </c>
      <c r="D224" t="s">
        <v>116</v>
      </c>
      <c r="E224" t="s">
        <v>14</v>
      </c>
      <c r="F224" s="3">
        <v>948000</v>
      </c>
      <c r="G224" s="1">
        <v>0.7</v>
      </c>
      <c r="H224" s="3">
        <f t="shared" si="6"/>
        <v>284400.00000000006</v>
      </c>
    </row>
    <row r="225" spans="1:8" x14ac:dyDescent="0.35">
      <c r="A225">
        <v>717519001</v>
      </c>
      <c r="B225" t="s">
        <v>709</v>
      </c>
      <c r="C225" t="s">
        <v>92</v>
      </c>
      <c r="D225" t="s">
        <v>116</v>
      </c>
      <c r="E225" t="s">
        <v>14</v>
      </c>
      <c r="F225" s="3">
        <v>948000</v>
      </c>
      <c r="G225" s="1">
        <v>0.7</v>
      </c>
      <c r="H225" s="3">
        <f t="shared" si="6"/>
        <v>284400.00000000006</v>
      </c>
    </row>
    <row r="226" spans="1:8" x14ac:dyDescent="0.35">
      <c r="A226">
        <v>717520001</v>
      </c>
      <c r="B226" t="s">
        <v>710</v>
      </c>
      <c r="C226" t="s">
        <v>92</v>
      </c>
      <c r="D226" t="s">
        <v>116</v>
      </c>
      <c r="E226" t="s">
        <v>14</v>
      </c>
      <c r="F226" s="3">
        <v>948000</v>
      </c>
      <c r="G226" s="1">
        <v>0.7</v>
      </c>
      <c r="H226" s="3">
        <f t="shared" si="6"/>
        <v>284400.00000000006</v>
      </c>
    </row>
    <row r="227" spans="1:8" x14ac:dyDescent="0.35">
      <c r="A227">
        <v>717582001</v>
      </c>
      <c r="B227" t="s">
        <v>711</v>
      </c>
      <c r="C227" t="s">
        <v>92</v>
      </c>
      <c r="D227" t="s">
        <v>116</v>
      </c>
      <c r="E227" t="s">
        <v>14</v>
      </c>
      <c r="F227" s="3">
        <v>278000</v>
      </c>
      <c r="G227" s="1">
        <v>0.7</v>
      </c>
      <c r="H227" s="3">
        <f t="shared" si="6"/>
        <v>83400.000000000015</v>
      </c>
    </row>
    <row r="228" spans="1:8" x14ac:dyDescent="0.35">
      <c r="A228">
        <v>717583001</v>
      </c>
      <c r="B228" t="s">
        <v>712</v>
      </c>
      <c r="C228" t="s">
        <v>92</v>
      </c>
      <c r="D228" t="s">
        <v>116</v>
      </c>
      <c r="E228" t="s">
        <v>14</v>
      </c>
      <c r="F228" s="3">
        <v>278000</v>
      </c>
      <c r="G228" s="1">
        <v>0.7</v>
      </c>
      <c r="H228" s="3">
        <f t="shared" si="6"/>
        <v>83400.000000000015</v>
      </c>
    </row>
    <row r="229" spans="1:8" x14ac:dyDescent="0.35">
      <c r="A229">
        <v>717712001</v>
      </c>
      <c r="B229" t="s">
        <v>713</v>
      </c>
      <c r="C229" t="s">
        <v>92</v>
      </c>
      <c r="D229" t="s">
        <v>116</v>
      </c>
      <c r="E229" t="s">
        <v>14</v>
      </c>
      <c r="F229" s="3">
        <v>218000</v>
      </c>
      <c r="G229" s="1">
        <v>0.5</v>
      </c>
      <c r="H229" s="3">
        <f t="shared" si="6"/>
        <v>109000</v>
      </c>
    </row>
    <row r="230" spans="1:8" x14ac:dyDescent="0.35">
      <c r="A230">
        <v>717713001</v>
      </c>
      <c r="B230" t="s">
        <v>714</v>
      </c>
      <c r="C230" t="s">
        <v>92</v>
      </c>
      <c r="D230" t="s">
        <v>116</v>
      </c>
      <c r="E230" t="s">
        <v>14</v>
      </c>
      <c r="F230" s="3">
        <v>218000</v>
      </c>
      <c r="G230" s="1">
        <v>0.5</v>
      </c>
      <c r="H230" s="3">
        <f t="shared" si="6"/>
        <v>109000</v>
      </c>
    </row>
    <row r="231" spans="1:8" x14ac:dyDescent="0.35">
      <c r="A231">
        <v>717714001</v>
      </c>
      <c r="B231" t="s">
        <v>715</v>
      </c>
      <c r="C231" t="s">
        <v>92</v>
      </c>
      <c r="D231" t="s">
        <v>116</v>
      </c>
      <c r="E231" t="s">
        <v>14</v>
      </c>
      <c r="F231" s="3">
        <v>218000</v>
      </c>
      <c r="G231" s="1">
        <v>0.5</v>
      </c>
      <c r="H231" s="3">
        <f t="shared" si="6"/>
        <v>109000</v>
      </c>
    </row>
    <row r="232" spans="1:8" x14ac:dyDescent="0.35">
      <c r="A232">
        <v>717715001</v>
      </c>
      <c r="B232" t="s">
        <v>716</v>
      </c>
      <c r="C232" t="s">
        <v>92</v>
      </c>
      <c r="D232" t="s">
        <v>116</v>
      </c>
      <c r="E232" t="s">
        <v>14</v>
      </c>
      <c r="F232" s="3">
        <v>218000</v>
      </c>
      <c r="G232" s="1">
        <v>0.5</v>
      </c>
      <c r="H232" s="3">
        <f t="shared" si="6"/>
        <v>109000</v>
      </c>
    </row>
    <row r="233" spans="1:8" x14ac:dyDescent="0.35">
      <c r="A233">
        <v>717716001</v>
      </c>
      <c r="B233" t="s">
        <v>717</v>
      </c>
      <c r="C233" t="s">
        <v>92</v>
      </c>
      <c r="D233" t="s">
        <v>116</v>
      </c>
      <c r="E233" t="s">
        <v>14</v>
      </c>
      <c r="F233" s="3">
        <v>3198000</v>
      </c>
      <c r="G233" s="1">
        <v>0.7</v>
      </c>
      <c r="H233" s="3">
        <f t="shared" si="6"/>
        <v>959400.00000000012</v>
      </c>
    </row>
    <row r="234" spans="1:8" x14ac:dyDescent="0.35">
      <c r="A234">
        <v>717720001</v>
      </c>
      <c r="B234" t="s">
        <v>718</v>
      </c>
      <c r="C234" t="s">
        <v>92</v>
      </c>
      <c r="D234" t="s">
        <v>116</v>
      </c>
      <c r="E234" t="s">
        <v>14</v>
      </c>
      <c r="F234" s="3">
        <v>948000</v>
      </c>
      <c r="G234" s="1">
        <v>0.7</v>
      </c>
      <c r="H234" s="3">
        <f t="shared" si="6"/>
        <v>284400.00000000006</v>
      </c>
    </row>
    <row r="235" spans="1:8" x14ac:dyDescent="0.35">
      <c r="A235">
        <v>717721001</v>
      </c>
      <c r="B235" t="s">
        <v>719</v>
      </c>
      <c r="C235" t="s">
        <v>92</v>
      </c>
      <c r="D235" t="s">
        <v>116</v>
      </c>
      <c r="E235" t="s">
        <v>14</v>
      </c>
      <c r="F235" s="3">
        <v>948000</v>
      </c>
      <c r="G235" s="1">
        <v>0.7</v>
      </c>
      <c r="H235" s="3">
        <f t="shared" si="6"/>
        <v>284400.00000000006</v>
      </c>
    </row>
    <row r="236" spans="1:8" x14ac:dyDescent="0.35">
      <c r="A236">
        <v>719718001</v>
      </c>
      <c r="B236" t="s">
        <v>720</v>
      </c>
      <c r="C236" t="s">
        <v>92</v>
      </c>
      <c r="D236" t="s">
        <v>116</v>
      </c>
      <c r="E236" t="s">
        <v>14</v>
      </c>
      <c r="F236" s="3">
        <v>228000</v>
      </c>
      <c r="G236" s="1">
        <v>0.7</v>
      </c>
      <c r="H236" s="3">
        <f t="shared" si="6"/>
        <v>68400.000000000015</v>
      </c>
    </row>
    <row r="237" spans="1:8" x14ac:dyDescent="0.35">
      <c r="A237">
        <v>719720001</v>
      </c>
      <c r="B237" t="s">
        <v>721</v>
      </c>
      <c r="C237" t="s">
        <v>92</v>
      </c>
      <c r="D237" t="s">
        <v>116</v>
      </c>
      <c r="E237" t="s">
        <v>14</v>
      </c>
      <c r="F237" s="3">
        <v>3648000</v>
      </c>
      <c r="G237" s="1">
        <v>0.7</v>
      </c>
      <c r="H237" s="3">
        <f t="shared" si="6"/>
        <v>1094400.0000000002</v>
      </c>
    </row>
    <row r="238" spans="1:8" x14ac:dyDescent="0.35">
      <c r="A238">
        <v>719730001</v>
      </c>
      <c r="B238" t="s">
        <v>722</v>
      </c>
      <c r="C238" t="s">
        <v>92</v>
      </c>
      <c r="D238" t="s">
        <v>116</v>
      </c>
      <c r="E238" t="s">
        <v>14</v>
      </c>
      <c r="F238" s="3">
        <v>398000</v>
      </c>
      <c r="G238" s="1">
        <v>0.7</v>
      </c>
      <c r="H238" s="3">
        <f t="shared" si="6"/>
        <v>119400.00000000001</v>
      </c>
    </row>
    <row r="239" spans="1:8" x14ac:dyDescent="0.35">
      <c r="A239">
        <v>719731001</v>
      </c>
      <c r="B239" t="s">
        <v>723</v>
      </c>
      <c r="C239" t="s">
        <v>92</v>
      </c>
      <c r="D239" t="s">
        <v>116</v>
      </c>
      <c r="E239" t="s">
        <v>14</v>
      </c>
      <c r="F239" s="3">
        <v>398000</v>
      </c>
      <c r="G239" s="1">
        <v>0.7</v>
      </c>
      <c r="H239" s="3">
        <f t="shared" si="6"/>
        <v>119400.00000000001</v>
      </c>
    </row>
    <row r="240" spans="1:8" x14ac:dyDescent="0.35">
      <c r="A240">
        <v>719733001</v>
      </c>
      <c r="B240" t="s">
        <v>724</v>
      </c>
      <c r="C240" t="s">
        <v>92</v>
      </c>
      <c r="D240" t="s">
        <v>116</v>
      </c>
      <c r="E240" t="s">
        <v>14</v>
      </c>
      <c r="F240" s="3">
        <v>398000</v>
      </c>
      <c r="G240" s="1">
        <v>0.7</v>
      </c>
      <c r="H240" s="3">
        <f t="shared" si="6"/>
        <v>119400.00000000001</v>
      </c>
    </row>
    <row r="241" spans="1:8" x14ac:dyDescent="0.35">
      <c r="A241">
        <v>720654001</v>
      </c>
      <c r="B241" t="s">
        <v>725</v>
      </c>
      <c r="C241" t="s">
        <v>92</v>
      </c>
      <c r="D241" t="s">
        <v>116</v>
      </c>
      <c r="E241" t="s">
        <v>14</v>
      </c>
      <c r="F241" s="3">
        <v>298000</v>
      </c>
      <c r="G241" s="1">
        <v>0.7</v>
      </c>
      <c r="H241" s="3">
        <f t="shared" si="6"/>
        <v>89400.000000000015</v>
      </c>
    </row>
    <row r="242" spans="1:8" x14ac:dyDescent="0.35">
      <c r="A242">
        <v>721443001</v>
      </c>
      <c r="B242" t="s">
        <v>726</v>
      </c>
      <c r="C242" t="s">
        <v>92</v>
      </c>
      <c r="D242" t="s">
        <v>116</v>
      </c>
      <c r="F242" s="3">
        <v>398000</v>
      </c>
      <c r="G242" s="1">
        <v>0.2</v>
      </c>
      <c r="H242" s="3">
        <f t="shared" si="6"/>
        <v>318400</v>
      </c>
    </row>
    <row r="243" spans="1:8" x14ac:dyDescent="0.35">
      <c r="A243">
        <v>721663001</v>
      </c>
      <c r="B243" t="s">
        <v>727</v>
      </c>
      <c r="C243" t="s">
        <v>92</v>
      </c>
      <c r="D243" t="s">
        <v>116</v>
      </c>
      <c r="E243" t="s">
        <v>14</v>
      </c>
      <c r="F243" s="3">
        <v>228000</v>
      </c>
      <c r="G243" s="1">
        <v>0.7</v>
      </c>
      <c r="H243" s="3">
        <f t="shared" si="6"/>
        <v>68400.000000000015</v>
      </c>
    </row>
    <row r="244" spans="1:8" x14ac:dyDescent="0.35">
      <c r="A244">
        <v>724011001</v>
      </c>
      <c r="B244" t="s">
        <v>117</v>
      </c>
      <c r="C244" t="s">
        <v>92</v>
      </c>
      <c r="D244" t="s">
        <v>116</v>
      </c>
      <c r="E244" t="s">
        <v>14</v>
      </c>
      <c r="F244" s="3">
        <v>79000</v>
      </c>
      <c r="G244" s="1">
        <v>0.2</v>
      </c>
      <c r="H244" s="3">
        <f t="shared" si="6"/>
        <v>63200</v>
      </c>
    </row>
    <row r="245" spans="1:8" x14ac:dyDescent="0.35">
      <c r="A245">
        <v>724496001</v>
      </c>
      <c r="B245" t="s">
        <v>728</v>
      </c>
      <c r="C245" t="s">
        <v>92</v>
      </c>
      <c r="D245" t="s">
        <v>116</v>
      </c>
      <c r="E245" t="s">
        <v>14</v>
      </c>
      <c r="F245" s="3">
        <v>1598000</v>
      </c>
      <c r="G245" s="1">
        <v>0.5</v>
      </c>
      <c r="H245" s="3">
        <f t="shared" si="6"/>
        <v>799000</v>
      </c>
    </row>
    <row r="246" spans="1:8" x14ac:dyDescent="0.35">
      <c r="A246">
        <v>724888001</v>
      </c>
      <c r="B246" t="s">
        <v>119</v>
      </c>
      <c r="C246" t="s">
        <v>92</v>
      </c>
      <c r="D246" t="s">
        <v>116</v>
      </c>
      <c r="E246" t="s">
        <v>14</v>
      </c>
      <c r="F246" s="3">
        <v>94000</v>
      </c>
      <c r="G246" s="1">
        <v>0.2</v>
      </c>
      <c r="H246" s="3">
        <f t="shared" si="6"/>
        <v>75200</v>
      </c>
    </row>
    <row r="247" spans="1:8" x14ac:dyDescent="0.35">
      <c r="A247">
        <v>724890001</v>
      </c>
      <c r="B247" t="s">
        <v>729</v>
      </c>
      <c r="C247" t="s">
        <v>92</v>
      </c>
      <c r="D247" t="s">
        <v>116</v>
      </c>
      <c r="E247" t="s">
        <v>14</v>
      </c>
      <c r="F247" s="3">
        <v>1148000</v>
      </c>
      <c r="G247" s="1">
        <v>0.7</v>
      </c>
      <c r="H247" s="3">
        <f t="shared" si="6"/>
        <v>344400.00000000006</v>
      </c>
    </row>
    <row r="248" spans="1:8" x14ac:dyDescent="0.35">
      <c r="A248">
        <v>724892001</v>
      </c>
      <c r="B248" t="s">
        <v>730</v>
      </c>
      <c r="C248" t="s">
        <v>92</v>
      </c>
      <c r="D248" t="s">
        <v>116</v>
      </c>
      <c r="E248" t="s">
        <v>14</v>
      </c>
      <c r="F248" s="3">
        <v>1148000</v>
      </c>
      <c r="G248" s="1">
        <v>0.7</v>
      </c>
      <c r="H248" s="3">
        <f t="shared" si="6"/>
        <v>344400.00000000006</v>
      </c>
    </row>
    <row r="249" spans="1:8" x14ac:dyDescent="0.35">
      <c r="A249">
        <v>726052001</v>
      </c>
      <c r="B249" t="s">
        <v>731</v>
      </c>
      <c r="C249" t="s">
        <v>92</v>
      </c>
      <c r="D249" t="s">
        <v>116</v>
      </c>
      <c r="E249" t="s">
        <v>14</v>
      </c>
      <c r="F249" s="3">
        <v>248000</v>
      </c>
      <c r="G249" s="1">
        <v>0.5</v>
      </c>
      <c r="H249" s="3">
        <f t="shared" si="6"/>
        <v>124000</v>
      </c>
    </row>
    <row r="250" spans="1:8" x14ac:dyDescent="0.35">
      <c r="A250">
        <v>726804001</v>
      </c>
      <c r="B250" t="s">
        <v>732</v>
      </c>
      <c r="C250" t="s">
        <v>92</v>
      </c>
      <c r="D250" t="s">
        <v>116</v>
      </c>
      <c r="E250" t="s">
        <v>14</v>
      </c>
      <c r="F250" s="3">
        <v>298000</v>
      </c>
      <c r="G250" s="1">
        <v>0.7</v>
      </c>
      <c r="H250" s="3">
        <f t="shared" si="6"/>
        <v>89400.000000000015</v>
      </c>
    </row>
    <row r="251" spans="1:8" x14ac:dyDescent="0.35">
      <c r="A251">
        <v>726808001</v>
      </c>
      <c r="B251" t="s">
        <v>733</v>
      </c>
      <c r="C251" t="s">
        <v>92</v>
      </c>
      <c r="D251" t="s">
        <v>116</v>
      </c>
      <c r="E251" t="s">
        <v>14</v>
      </c>
      <c r="F251" s="3">
        <v>298000</v>
      </c>
      <c r="G251" s="1">
        <v>0.7</v>
      </c>
      <c r="H251" s="3">
        <f t="shared" si="6"/>
        <v>89400.000000000015</v>
      </c>
    </row>
    <row r="252" spans="1:8" x14ac:dyDescent="0.35">
      <c r="A252">
        <v>726809001</v>
      </c>
      <c r="B252" t="s">
        <v>734</v>
      </c>
      <c r="C252" t="s">
        <v>92</v>
      </c>
      <c r="D252" t="s">
        <v>116</v>
      </c>
      <c r="E252" t="s">
        <v>14</v>
      </c>
      <c r="F252" s="3">
        <v>298000</v>
      </c>
      <c r="G252" s="1">
        <v>0.7</v>
      </c>
      <c r="H252" s="3">
        <f t="shared" si="6"/>
        <v>89400.000000000015</v>
      </c>
    </row>
    <row r="253" spans="1:8" x14ac:dyDescent="0.35">
      <c r="A253">
        <v>727943001</v>
      </c>
      <c r="B253" t="s">
        <v>735</v>
      </c>
      <c r="C253" t="s">
        <v>92</v>
      </c>
      <c r="D253" t="s">
        <v>116</v>
      </c>
      <c r="E253" t="s">
        <v>14</v>
      </c>
      <c r="F253" s="3">
        <v>298000</v>
      </c>
      <c r="G253" s="1">
        <v>0.7</v>
      </c>
      <c r="H253" s="3">
        <f t="shared" si="6"/>
        <v>89400.000000000015</v>
      </c>
    </row>
    <row r="254" spans="1:8" x14ac:dyDescent="0.35">
      <c r="A254">
        <v>728842001</v>
      </c>
      <c r="B254" t="s">
        <v>118</v>
      </c>
      <c r="C254" t="s">
        <v>92</v>
      </c>
      <c r="D254" t="s">
        <v>116</v>
      </c>
      <c r="E254" t="s">
        <v>14</v>
      </c>
      <c r="F254" s="3">
        <v>79000</v>
      </c>
      <c r="G254" s="1">
        <v>0.2</v>
      </c>
      <c r="H254" s="3">
        <f t="shared" si="6"/>
        <v>63200</v>
      </c>
    </row>
    <row r="255" spans="1:8" x14ac:dyDescent="0.35">
      <c r="A255">
        <v>731085001</v>
      </c>
      <c r="B255" t="s">
        <v>445</v>
      </c>
      <c r="C255" t="s">
        <v>92</v>
      </c>
      <c r="D255" t="s">
        <v>116</v>
      </c>
      <c r="E255" t="s">
        <v>14</v>
      </c>
      <c r="F255" s="3">
        <v>228000</v>
      </c>
      <c r="G255" s="1">
        <v>0.2</v>
      </c>
      <c r="H255" s="3">
        <f t="shared" si="6"/>
        <v>182400</v>
      </c>
    </row>
    <row r="256" spans="1:8" x14ac:dyDescent="0.35">
      <c r="A256">
        <v>731100001</v>
      </c>
      <c r="B256" t="s">
        <v>736</v>
      </c>
      <c r="C256" t="s">
        <v>92</v>
      </c>
      <c r="D256" t="s">
        <v>116</v>
      </c>
      <c r="E256" t="s">
        <v>14</v>
      </c>
      <c r="F256" s="3">
        <v>298000</v>
      </c>
      <c r="G256" s="1">
        <v>0.2</v>
      </c>
      <c r="H256" s="3">
        <f t="shared" si="6"/>
        <v>238400</v>
      </c>
    </row>
    <row r="257" spans="1:8" x14ac:dyDescent="0.35">
      <c r="A257">
        <v>731102001</v>
      </c>
      <c r="B257" t="s">
        <v>737</v>
      </c>
      <c r="C257" t="s">
        <v>92</v>
      </c>
      <c r="D257" t="s">
        <v>116</v>
      </c>
      <c r="E257" t="s">
        <v>14</v>
      </c>
      <c r="F257" s="3">
        <v>378000</v>
      </c>
      <c r="G257" s="1">
        <v>0.5</v>
      </c>
      <c r="H257" s="3">
        <f t="shared" si="6"/>
        <v>189000</v>
      </c>
    </row>
    <row r="258" spans="1:8" x14ac:dyDescent="0.35">
      <c r="A258">
        <v>732079001</v>
      </c>
      <c r="B258" t="s">
        <v>738</v>
      </c>
      <c r="C258" t="s">
        <v>92</v>
      </c>
      <c r="D258" t="s">
        <v>116</v>
      </c>
      <c r="E258" t="s">
        <v>14</v>
      </c>
      <c r="F258" s="3">
        <v>298000</v>
      </c>
      <c r="G258" s="1">
        <v>0.7</v>
      </c>
      <c r="H258" s="3">
        <f t="shared" si="6"/>
        <v>89400.000000000015</v>
      </c>
    </row>
    <row r="259" spans="1:8" x14ac:dyDescent="0.35">
      <c r="A259">
        <v>732169001</v>
      </c>
      <c r="B259" t="s">
        <v>739</v>
      </c>
      <c r="C259" t="s">
        <v>92</v>
      </c>
      <c r="D259" t="s">
        <v>116</v>
      </c>
      <c r="E259" t="s">
        <v>14</v>
      </c>
      <c r="F259" s="3">
        <v>228000</v>
      </c>
      <c r="G259" s="1">
        <v>0.5</v>
      </c>
      <c r="H259" s="3">
        <f t="shared" si="6"/>
        <v>114000</v>
      </c>
    </row>
    <row r="260" spans="1:8" x14ac:dyDescent="0.35">
      <c r="A260">
        <v>732174001</v>
      </c>
      <c r="B260" t="s">
        <v>740</v>
      </c>
      <c r="C260" t="s">
        <v>92</v>
      </c>
      <c r="D260" t="s">
        <v>116</v>
      </c>
      <c r="F260" s="3">
        <v>198000</v>
      </c>
      <c r="G260" s="1">
        <v>0.2</v>
      </c>
      <c r="H260" s="3">
        <f t="shared" si="6"/>
        <v>158400</v>
      </c>
    </row>
    <row r="261" spans="1:8" x14ac:dyDescent="0.35">
      <c r="A261">
        <v>732176001</v>
      </c>
      <c r="B261" t="s">
        <v>741</v>
      </c>
      <c r="C261" t="s">
        <v>92</v>
      </c>
      <c r="D261" t="s">
        <v>116</v>
      </c>
      <c r="E261" t="s">
        <v>14</v>
      </c>
      <c r="F261" s="3">
        <v>198000</v>
      </c>
      <c r="G261" s="1">
        <v>0.5</v>
      </c>
      <c r="H261" s="3">
        <f t="shared" si="6"/>
        <v>99000</v>
      </c>
    </row>
    <row r="262" spans="1:8" x14ac:dyDescent="0.35">
      <c r="A262">
        <v>732177001</v>
      </c>
      <c r="B262" t="s">
        <v>742</v>
      </c>
      <c r="C262" t="s">
        <v>92</v>
      </c>
      <c r="D262" t="s">
        <v>116</v>
      </c>
      <c r="F262" s="3">
        <v>228000</v>
      </c>
      <c r="G262" s="1">
        <v>0.2</v>
      </c>
      <c r="H262" s="3">
        <f t="shared" si="6"/>
        <v>182400</v>
      </c>
    </row>
    <row r="263" spans="1:8" x14ac:dyDescent="0.35">
      <c r="A263">
        <v>732178001</v>
      </c>
      <c r="B263" t="s">
        <v>743</v>
      </c>
      <c r="C263" t="s">
        <v>92</v>
      </c>
      <c r="D263" t="s">
        <v>116</v>
      </c>
      <c r="E263" t="s">
        <v>14</v>
      </c>
      <c r="F263" s="3">
        <v>248000</v>
      </c>
      <c r="G263" s="1">
        <v>0.7</v>
      </c>
      <c r="H263" s="3">
        <f t="shared" si="6"/>
        <v>74400.000000000015</v>
      </c>
    </row>
    <row r="264" spans="1:8" x14ac:dyDescent="0.35">
      <c r="A264">
        <v>732928001</v>
      </c>
      <c r="B264" t="s">
        <v>744</v>
      </c>
      <c r="C264" t="s">
        <v>92</v>
      </c>
      <c r="D264" t="s">
        <v>116</v>
      </c>
      <c r="E264" t="s">
        <v>14</v>
      </c>
      <c r="F264" s="3">
        <v>228000</v>
      </c>
      <c r="G264" s="1">
        <v>0.5</v>
      </c>
      <c r="H264" s="3">
        <f t="shared" si="6"/>
        <v>114000</v>
      </c>
    </row>
    <row r="265" spans="1:8" x14ac:dyDescent="0.35">
      <c r="A265">
        <v>733330001</v>
      </c>
      <c r="B265" t="s">
        <v>745</v>
      </c>
      <c r="C265" t="s">
        <v>92</v>
      </c>
      <c r="D265" t="s">
        <v>116</v>
      </c>
      <c r="F265" s="3">
        <v>198000</v>
      </c>
      <c r="G265" s="1">
        <v>0.5</v>
      </c>
      <c r="H265" s="3">
        <f t="shared" si="6"/>
        <v>99000</v>
      </c>
    </row>
    <row r="266" spans="1:8" x14ac:dyDescent="0.35">
      <c r="A266">
        <v>733332001</v>
      </c>
      <c r="B266" t="s">
        <v>746</v>
      </c>
      <c r="C266" t="s">
        <v>92</v>
      </c>
      <c r="D266" t="s">
        <v>116</v>
      </c>
      <c r="F266" s="3">
        <v>278000</v>
      </c>
      <c r="G266" s="1">
        <v>0.5</v>
      </c>
      <c r="H266" s="3">
        <f t="shared" si="6"/>
        <v>139000</v>
      </c>
    </row>
    <row r="267" spans="1:8" x14ac:dyDescent="0.35">
      <c r="A267">
        <v>733347001</v>
      </c>
      <c r="B267" t="s">
        <v>747</v>
      </c>
      <c r="C267" t="s">
        <v>92</v>
      </c>
      <c r="D267" t="s">
        <v>116</v>
      </c>
      <c r="F267" s="3">
        <v>428000</v>
      </c>
      <c r="G267" s="1">
        <v>0.5</v>
      </c>
      <c r="H267" s="3">
        <f t="shared" si="6"/>
        <v>214000</v>
      </c>
    </row>
    <row r="268" spans="1:8" x14ac:dyDescent="0.35">
      <c r="A268">
        <v>733385001</v>
      </c>
      <c r="B268" t="s">
        <v>120</v>
      </c>
      <c r="C268" t="s">
        <v>92</v>
      </c>
      <c r="D268" t="s">
        <v>116</v>
      </c>
      <c r="E268" t="s">
        <v>14</v>
      </c>
      <c r="F268" s="3">
        <v>99000</v>
      </c>
      <c r="G268" s="1">
        <v>0.2</v>
      </c>
      <c r="H268" s="3">
        <f t="shared" si="6"/>
        <v>79200</v>
      </c>
    </row>
    <row r="269" spans="1:8" x14ac:dyDescent="0.35">
      <c r="A269">
        <v>734898001</v>
      </c>
      <c r="B269" t="s">
        <v>748</v>
      </c>
      <c r="C269" t="s">
        <v>92</v>
      </c>
      <c r="D269" t="s">
        <v>116</v>
      </c>
      <c r="E269" t="s">
        <v>14</v>
      </c>
      <c r="F269" s="3">
        <v>278000</v>
      </c>
      <c r="G269" s="1">
        <v>0.7</v>
      </c>
      <c r="H269" s="3">
        <f t="shared" si="6"/>
        <v>83400.000000000015</v>
      </c>
    </row>
    <row r="270" spans="1:8" x14ac:dyDescent="0.35">
      <c r="A270">
        <v>736449001</v>
      </c>
      <c r="B270" t="s">
        <v>446</v>
      </c>
      <c r="C270" t="s">
        <v>92</v>
      </c>
      <c r="D270" t="s">
        <v>116</v>
      </c>
      <c r="E270" t="s">
        <v>14</v>
      </c>
      <c r="F270" s="3">
        <v>398000</v>
      </c>
      <c r="G270" s="1">
        <v>0.2</v>
      </c>
      <c r="H270" s="3">
        <f t="shared" si="6"/>
        <v>318400</v>
      </c>
    </row>
    <row r="271" spans="1:8" x14ac:dyDescent="0.35">
      <c r="A271">
        <v>729886001</v>
      </c>
      <c r="B271" t="s">
        <v>749</v>
      </c>
      <c r="C271" t="s">
        <v>368</v>
      </c>
      <c r="D271" t="s">
        <v>122</v>
      </c>
      <c r="E271" t="s">
        <v>14</v>
      </c>
      <c r="F271" s="3">
        <v>298000</v>
      </c>
      <c r="G271" s="1">
        <v>0.5</v>
      </c>
      <c r="H271" s="3">
        <f t="shared" si="6"/>
        <v>149000</v>
      </c>
    </row>
    <row r="272" spans="1:8" x14ac:dyDescent="0.35">
      <c r="A272">
        <v>729886002</v>
      </c>
      <c r="B272" t="s">
        <v>750</v>
      </c>
      <c r="C272" t="s">
        <v>368</v>
      </c>
      <c r="D272" t="s">
        <v>122</v>
      </c>
      <c r="E272" t="s">
        <v>14</v>
      </c>
      <c r="F272" s="3">
        <v>298000</v>
      </c>
      <c r="G272" s="1">
        <v>0.5</v>
      </c>
      <c r="H272" s="3">
        <f t="shared" si="6"/>
        <v>149000</v>
      </c>
    </row>
    <row r="273" spans="1:8" x14ac:dyDescent="0.35">
      <c r="A273">
        <v>729886003</v>
      </c>
      <c r="B273" t="s">
        <v>751</v>
      </c>
      <c r="C273" t="s">
        <v>368</v>
      </c>
      <c r="D273" t="s">
        <v>122</v>
      </c>
      <c r="E273" t="s">
        <v>14</v>
      </c>
      <c r="F273" s="3">
        <v>298000</v>
      </c>
      <c r="G273" s="1">
        <v>0.5</v>
      </c>
      <c r="H273" s="3">
        <f t="shared" si="6"/>
        <v>149000</v>
      </c>
    </row>
    <row r="274" spans="1:8" x14ac:dyDescent="0.35">
      <c r="A274">
        <v>730286009</v>
      </c>
      <c r="B274" t="s">
        <v>752</v>
      </c>
      <c r="C274" t="s">
        <v>368</v>
      </c>
      <c r="D274" t="s">
        <v>122</v>
      </c>
      <c r="E274" t="s">
        <v>14</v>
      </c>
      <c r="F274" s="3">
        <v>158000</v>
      </c>
      <c r="G274" s="1">
        <v>0.5</v>
      </c>
      <c r="H274" s="3">
        <f t="shared" si="6"/>
        <v>79000</v>
      </c>
    </row>
    <row r="275" spans="1:8" x14ac:dyDescent="0.35">
      <c r="A275">
        <v>733581001</v>
      </c>
      <c r="B275" t="s">
        <v>753</v>
      </c>
      <c r="C275" t="s">
        <v>368</v>
      </c>
      <c r="D275" t="s">
        <v>122</v>
      </c>
      <c r="E275" t="s">
        <v>14</v>
      </c>
      <c r="F275" s="3">
        <v>158000</v>
      </c>
      <c r="G275" s="1">
        <v>0.3</v>
      </c>
      <c r="H275" s="3">
        <f t="shared" si="6"/>
        <v>110600</v>
      </c>
    </row>
    <row r="276" spans="1:8" x14ac:dyDescent="0.35">
      <c r="A276">
        <v>733581005</v>
      </c>
      <c r="B276" t="s">
        <v>754</v>
      </c>
      <c r="C276" t="s">
        <v>368</v>
      </c>
      <c r="D276" t="s">
        <v>122</v>
      </c>
      <c r="E276" t="s">
        <v>14</v>
      </c>
      <c r="F276" s="3">
        <v>158000</v>
      </c>
      <c r="G276" s="1">
        <v>0.3</v>
      </c>
      <c r="H276" s="3">
        <f t="shared" si="6"/>
        <v>110600</v>
      </c>
    </row>
    <row r="277" spans="1:8" x14ac:dyDescent="0.35">
      <c r="A277">
        <v>733581006</v>
      </c>
      <c r="B277" t="s">
        <v>755</v>
      </c>
      <c r="C277" t="s">
        <v>368</v>
      </c>
      <c r="D277" t="s">
        <v>122</v>
      </c>
      <c r="E277" t="s">
        <v>14</v>
      </c>
      <c r="F277" s="3">
        <v>158000</v>
      </c>
      <c r="G277" s="1">
        <v>0.3</v>
      </c>
      <c r="H277" s="3">
        <f t="shared" si="6"/>
        <v>110600</v>
      </c>
    </row>
    <row r="278" spans="1:8" x14ac:dyDescent="0.35">
      <c r="A278">
        <v>733581007</v>
      </c>
      <c r="B278" t="s">
        <v>756</v>
      </c>
      <c r="C278" t="s">
        <v>368</v>
      </c>
      <c r="D278" t="s">
        <v>122</v>
      </c>
      <c r="E278" t="s">
        <v>14</v>
      </c>
      <c r="F278" s="3">
        <v>158000</v>
      </c>
      <c r="G278" s="1">
        <v>0.3</v>
      </c>
      <c r="H278" s="3">
        <f t="shared" si="6"/>
        <v>110600</v>
      </c>
    </row>
    <row r="279" spans="1:8" x14ac:dyDescent="0.35">
      <c r="A279">
        <v>733581008</v>
      </c>
      <c r="B279" t="s">
        <v>757</v>
      </c>
      <c r="C279" t="s">
        <v>368</v>
      </c>
      <c r="D279" t="s">
        <v>122</v>
      </c>
      <c r="E279" t="s">
        <v>14</v>
      </c>
      <c r="F279" s="3">
        <v>158000</v>
      </c>
      <c r="G279" s="1">
        <v>0.3</v>
      </c>
      <c r="H279" s="3">
        <f t="shared" ref="H279:H342" si="7">F279*(1-G279)</f>
        <v>110600</v>
      </c>
    </row>
    <row r="280" spans="1:8" x14ac:dyDescent="0.35">
      <c r="A280">
        <v>733581009</v>
      </c>
      <c r="B280" t="s">
        <v>758</v>
      </c>
      <c r="C280" t="s">
        <v>368</v>
      </c>
      <c r="D280" t="s">
        <v>122</v>
      </c>
      <c r="E280" t="s">
        <v>14</v>
      </c>
      <c r="F280" s="3">
        <v>158000</v>
      </c>
      <c r="G280" s="1">
        <v>0.3</v>
      </c>
      <c r="H280" s="3">
        <f t="shared" si="7"/>
        <v>110600</v>
      </c>
    </row>
    <row r="281" spans="1:8" x14ac:dyDescent="0.35">
      <c r="A281">
        <v>733581010</v>
      </c>
      <c r="B281" t="s">
        <v>759</v>
      </c>
      <c r="C281" t="s">
        <v>368</v>
      </c>
      <c r="D281" t="s">
        <v>122</v>
      </c>
      <c r="E281" t="s">
        <v>14</v>
      </c>
      <c r="F281" s="3">
        <v>158000</v>
      </c>
      <c r="G281" s="1">
        <v>0.3</v>
      </c>
      <c r="H281" s="3">
        <f t="shared" si="7"/>
        <v>110600</v>
      </c>
    </row>
    <row r="282" spans="1:8" x14ac:dyDescent="0.35">
      <c r="A282">
        <v>733581011</v>
      </c>
      <c r="B282" t="s">
        <v>760</v>
      </c>
      <c r="C282" t="s">
        <v>368</v>
      </c>
      <c r="D282" t="s">
        <v>122</v>
      </c>
      <c r="E282" t="s">
        <v>14</v>
      </c>
      <c r="F282" s="3">
        <v>158000</v>
      </c>
      <c r="G282" s="1">
        <v>0.3</v>
      </c>
      <c r="H282" s="3">
        <f t="shared" si="7"/>
        <v>110600</v>
      </c>
    </row>
    <row r="283" spans="1:8" x14ac:dyDescent="0.35">
      <c r="A283">
        <v>733581013</v>
      </c>
      <c r="B283" t="s">
        <v>761</v>
      </c>
      <c r="C283" t="s">
        <v>368</v>
      </c>
      <c r="D283" t="s">
        <v>122</v>
      </c>
      <c r="E283" t="s">
        <v>14</v>
      </c>
      <c r="F283" s="3">
        <v>158000</v>
      </c>
      <c r="G283" s="1">
        <v>0.3</v>
      </c>
      <c r="H283" s="3">
        <f t="shared" si="7"/>
        <v>110600</v>
      </c>
    </row>
    <row r="284" spans="1:8" x14ac:dyDescent="0.35">
      <c r="A284">
        <v>733581014</v>
      </c>
      <c r="B284" t="s">
        <v>762</v>
      </c>
      <c r="C284" t="s">
        <v>368</v>
      </c>
      <c r="D284" t="s">
        <v>122</v>
      </c>
      <c r="E284" t="s">
        <v>14</v>
      </c>
      <c r="F284" s="3">
        <v>158000</v>
      </c>
      <c r="G284" s="1">
        <v>0.3</v>
      </c>
      <c r="H284" s="3">
        <f t="shared" si="7"/>
        <v>110600</v>
      </c>
    </row>
    <row r="285" spans="1:8" x14ac:dyDescent="0.35">
      <c r="A285">
        <v>733581015</v>
      </c>
      <c r="B285" t="s">
        <v>763</v>
      </c>
      <c r="C285" t="s">
        <v>368</v>
      </c>
      <c r="D285" t="s">
        <v>122</v>
      </c>
      <c r="E285" t="s">
        <v>14</v>
      </c>
      <c r="F285" s="3">
        <v>158000</v>
      </c>
      <c r="G285" s="1">
        <v>0.3</v>
      </c>
      <c r="H285" s="3">
        <f t="shared" si="7"/>
        <v>110600</v>
      </c>
    </row>
    <row r="286" spans="1:8" x14ac:dyDescent="0.35">
      <c r="A286">
        <v>733581016</v>
      </c>
      <c r="B286" t="s">
        <v>764</v>
      </c>
      <c r="C286" t="s">
        <v>368</v>
      </c>
      <c r="D286" t="s">
        <v>122</v>
      </c>
      <c r="E286" t="s">
        <v>14</v>
      </c>
      <c r="F286" s="3">
        <v>158000</v>
      </c>
      <c r="G286" s="1">
        <v>0.5</v>
      </c>
      <c r="H286" s="3">
        <f t="shared" si="7"/>
        <v>79000</v>
      </c>
    </row>
    <row r="287" spans="1:8" x14ac:dyDescent="0.35">
      <c r="A287">
        <v>733581017</v>
      </c>
      <c r="B287" t="s">
        <v>765</v>
      </c>
      <c r="C287" t="s">
        <v>368</v>
      </c>
      <c r="D287" t="s">
        <v>122</v>
      </c>
      <c r="E287" t="s">
        <v>14</v>
      </c>
      <c r="F287" s="3">
        <v>158000</v>
      </c>
      <c r="G287" s="1">
        <v>0.5</v>
      </c>
      <c r="H287" s="3">
        <f t="shared" si="7"/>
        <v>79000</v>
      </c>
    </row>
    <row r="288" spans="1:8" x14ac:dyDescent="0.35">
      <c r="A288">
        <v>735137004</v>
      </c>
      <c r="B288" t="s">
        <v>766</v>
      </c>
      <c r="C288" t="s">
        <v>368</v>
      </c>
      <c r="D288" t="s">
        <v>122</v>
      </c>
      <c r="E288" t="s">
        <v>14</v>
      </c>
      <c r="F288" s="3">
        <v>298000</v>
      </c>
      <c r="G288" s="1">
        <v>0.5</v>
      </c>
      <c r="H288" s="3">
        <f t="shared" si="7"/>
        <v>149000</v>
      </c>
    </row>
    <row r="289" spans="1:8" x14ac:dyDescent="0.35">
      <c r="A289">
        <v>735137005</v>
      </c>
      <c r="B289" t="s">
        <v>767</v>
      </c>
      <c r="C289" t="s">
        <v>368</v>
      </c>
      <c r="D289" t="s">
        <v>122</v>
      </c>
      <c r="E289" t="s">
        <v>14</v>
      </c>
      <c r="F289" s="3">
        <v>298000</v>
      </c>
      <c r="G289" s="1">
        <v>0.5</v>
      </c>
      <c r="H289" s="3">
        <f t="shared" si="7"/>
        <v>149000</v>
      </c>
    </row>
    <row r="290" spans="1:8" x14ac:dyDescent="0.35">
      <c r="A290">
        <v>735137006</v>
      </c>
      <c r="B290" t="s">
        <v>768</v>
      </c>
      <c r="C290" t="s">
        <v>368</v>
      </c>
      <c r="D290" t="s">
        <v>122</v>
      </c>
      <c r="E290" t="s">
        <v>14</v>
      </c>
      <c r="F290" s="3">
        <v>298000</v>
      </c>
      <c r="G290" s="1">
        <v>0.5</v>
      </c>
      <c r="H290" s="3">
        <f t="shared" si="7"/>
        <v>149000</v>
      </c>
    </row>
    <row r="291" spans="1:8" x14ac:dyDescent="0.35">
      <c r="A291">
        <v>735137007</v>
      </c>
      <c r="B291" t="s">
        <v>769</v>
      </c>
      <c r="C291" t="s">
        <v>368</v>
      </c>
      <c r="D291" t="s">
        <v>122</v>
      </c>
      <c r="E291" t="s">
        <v>14</v>
      </c>
      <c r="F291" s="3">
        <v>298000</v>
      </c>
      <c r="G291" s="1">
        <v>0.5</v>
      </c>
      <c r="H291" s="3">
        <f t="shared" si="7"/>
        <v>149000</v>
      </c>
    </row>
    <row r="292" spans="1:8" x14ac:dyDescent="0.35">
      <c r="A292">
        <v>735137008</v>
      </c>
      <c r="B292" t="s">
        <v>770</v>
      </c>
      <c r="C292" t="s">
        <v>368</v>
      </c>
      <c r="D292" t="s">
        <v>122</v>
      </c>
      <c r="E292" t="s">
        <v>14</v>
      </c>
      <c r="F292" s="3">
        <v>298000</v>
      </c>
      <c r="G292" s="1">
        <v>0.5</v>
      </c>
      <c r="H292" s="3">
        <f t="shared" si="7"/>
        <v>149000</v>
      </c>
    </row>
    <row r="293" spans="1:8" x14ac:dyDescent="0.35">
      <c r="A293">
        <v>735137009</v>
      </c>
      <c r="B293" t="s">
        <v>771</v>
      </c>
      <c r="C293" t="s">
        <v>368</v>
      </c>
      <c r="D293" t="s">
        <v>122</v>
      </c>
      <c r="E293" t="s">
        <v>14</v>
      </c>
      <c r="F293" s="3">
        <v>298000</v>
      </c>
      <c r="G293" s="1">
        <v>0.5</v>
      </c>
      <c r="H293" s="3">
        <f t="shared" si="7"/>
        <v>149000</v>
      </c>
    </row>
    <row r="294" spans="1:8" x14ac:dyDescent="0.35">
      <c r="A294">
        <v>735138001</v>
      </c>
      <c r="B294" t="s">
        <v>772</v>
      </c>
      <c r="C294" t="s">
        <v>368</v>
      </c>
      <c r="D294" t="s">
        <v>122</v>
      </c>
      <c r="E294" t="s">
        <v>14</v>
      </c>
      <c r="F294" s="3">
        <v>228000</v>
      </c>
      <c r="G294" s="1">
        <v>0.5</v>
      </c>
      <c r="H294" s="3">
        <f t="shared" si="7"/>
        <v>114000</v>
      </c>
    </row>
    <row r="295" spans="1:8" x14ac:dyDescent="0.35">
      <c r="A295">
        <v>735138010</v>
      </c>
      <c r="B295" t="s">
        <v>773</v>
      </c>
      <c r="C295" t="s">
        <v>368</v>
      </c>
      <c r="D295" t="s">
        <v>122</v>
      </c>
      <c r="E295" t="s">
        <v>14</v>
      </c>
      <c r="F295" s="3">
        <v>228000</v>
      </c>
      <c r="G295" s="1">
        <v>0.5</v>
      </c>
      <c r="H295" s="3">
        <f t="shared" si="7"/>
        <v>114000</v>
      </c>
    </row>
    <row r="296" spans="1:8" x14ac:dyDescent="0.35">
      <c r="A296">
        <v>735138011</v>
      </c>
      <c r="B296" t="s">
        <v>774</v>
      </c>
      <c r="C296" t="s">
        <v>368</v>
      </c>
      <c r="D296" t="s">
        <v>122</v>
      </c>
      <c r="E296" t="s">
        <v>14</v>
      </c>
      <c r="F296" s="3">
        <v>228000</v>
      </c>
      <c r="G296" s="1">
        <v>0.5</v>
      </c>
      <c r="H296" s="3">
        <f t="shared" si="7"/>
        <v>114000</v>
      </c>
    </row>
    <row r="297" spans="1:8" x14ac:dyDescent="0.35">
      <c r="A297">
        <v>730521002</v>
      </c>
      <c r="B297" t="s">
        <v>134</v>
      </c>
      <c r="C297" t="s">
        <v>92</v>
      </c>
      <c r="D297" t="s">
        <v>122</v>
      </c>
      <c r="E297" t="s">
        <v>14</v>
      </c>
      <c r="F297" s="3">
        <v>278000</v>
      </c>
      <c r="G297" s="1">
        <v>0.2</v>
      </c>
      <c r="H297" s="3">
        <f t="shared" si="7"/>
        <v>222400</v>
      </c>
    </row>
    <row r="298" spans="1:8" x14ac:dyDescent="0.35">
      <c r="A298">
        <v>730521013</v>
      </c>
      <c r="B298" t="s">
        <v>135</v>
      </c>
      <c r="C298" t="s">
        <v>92</v>
      </c>
      <c r="D298" t="s">
        <v>122</v>
      </c>
      <c r="E298" t="s">
        <v>14</v>
      </c>
      <c r="F298" s="3">
        <v>278000</v>
      </c>
      <c r="G298" s="1">
        <v>0.2</v>
      </c>
      <c r="H298" s="3">
        <f t="shared" si="7"/>
        <v>222400</v>
      </c>
    </row>
    <row r="299" spans="1:8" x14ac:dyDescent="0.35">
      <c r="A299">
        <v>730521014</v>
      </c>
      <c r="B299" t="s">
        <v>136</v>
      </c>
      <c r="C299" t="s">
        <v>92</v>
      </c>
      <c r="D299" t="s">
        <v>122</v>
      </c>
      <c r="E299" t="s">
        <v>14</v>
      </c>
      <c r="F299" s="3">
        <v>278000</v>
      </c>
      <c r="G299" s="1">
        <v>0.2</v>
      </c>
      <c r="H299" s="3">
        <f t="shared" si="7"/>
        <v>222400</v>
      </c>
    </row>
    <row r="300" spans="1:8" x14ac:dyDescent="0.35">
      <c r="A300">
        <v>730521015</v>
      </c>
      <c r="B300" t="s">
        <v>775</v>
      </c>
      <c r="C300" t="s">
        <v>92</v>
      </c>
      <c r="D300" t="s">
        <v>122</v>
      </c>
      <c r="E300" t="s">
        <v>14</v>
      </c>
      <c r="F300" s="3">
        <v>278000</v>
      </c>
      <c r="G300" s="1">
        <v>0.2</v>
      </c>
      <c r="H300" s="3">
        <f t="shared" si="7"/>
        <v>222400</v>
      </c>
    </row>
    <row r="301" spans="1:8" x14ac:dyDescent="0.35">
      <c r="A301">
        <v>732211003</v>
      </c>
      <c r="B301" t="s">
        <v>776</v>
      </c>
      <c r="C301" t="s">
        <v>92</v>
      </c>
      <c r="D301" t="s">
        <v>122</v>
      </c>
      <c r="E301" t="s">
        <v>14</v>
      </c>
      <c r="F301" s="3">
        <v>478000</v>
      </c>
      <c r="G301" s="1">
        <v>0.2</v>
      </c>
      <c r="H301" s="3">
        <f t="shared" si="7"/>
        <v>382400</v>
      </c>
    </row>
    <row r="302" spans="1:8" x14ac:dyDescent="0.35">
      <c r="A302">
        <v>732211004</v>
      </c>
      <c r="B302" t="s">
        <v>777</v>
      </c>
      <c r="C302" t="s">
        <v>92</v>
      </c>
      <c r="D302" t="s">
        <v>122</v>
      </c>
      <c r="E302" t="s">
        <v>14</v>
      </c>
      <c r="F302" s="3">
        <v>478000</v>
      </c>
      <c r="G302" s="1">
        <v>0.2</v>
      </c>
      <c r="H302" s="3">
        <f t="shared" si="7"/>
        <v>382400</v>
      </c>
    </row>
    <row r="303" spans="1:8" x14ac:dyDescent="0.35">
      <c r="A303">
        <v>732211006</v>
      </c>
      <c r="B303" t="s">
        <v>130</v>
      </c>
      <c r="C303" t="s">
        <v>92</v>
      </c>
      <c r="D303" t="s">
        <v>122</v>
      </c>
      <c r="E303" t="s">
        <v>14</v>
      </c>
      <c r="F303" s="3">
        <v>478000</v>
      </c>
      <c r="G303" s="1">
        <v>0.2</v>
      </c>
      <c r="H303" s="3">
        <f t="shared" si="7"/>
        <v>382400</v>
      </c>
    </row>
    <row r="304" spans="1:8" x14ac:dyDescent="0.35">
      <c r="A304">
        <v>733187002</v>
      </c>
      <c r="B304" t="s">
        <v>123</v>
      </c>
      <c r="C304" t="s">
        <v>92</v>
      </c>
      <c r="D304" t="s">
        <v>122</v>
      </c>
      <c r="E304" t="s">
        <v>14</v>
      </c>
      <c r="F304" s="3">
        <v>498000</v>
      </c>
      <c r="G304" s="1">
        <v>0.2</v>
      </c>
      <c r="H304" s="3">
        <f t="shared" si="7"/>
        <v>398400</v>
      </c>
    </row>
    <row r="305" spans="1:8" x14ac:dyDescent="0.35">
      <c r="A305">
        <v>733187003</v>
      </c>
      <c r="B305" t="s">
        <v>778</v>
      </c>
      <c r="C305" t="s">
        <v>92</v>
      </c>
      <c r="D305" t="s">
        <v>122</v>
      </c>
      <c r="E305" t="s">
        <v>14</v>
      </c>
      <c r="F305" s="3">
        <v>498000</v>
      </c>
      <c r="G305" s="1">
        <v>0.2</v>
      </c>
      <c r="H305" s="3">
        <f t="shared" si="7"/>
        <v>398400</v>
      </c>
    </row>
    <row r="306" spans="1:8" x14ac:dyDescent="0.35">
      <c r="A306">
        <v>733187005</v>
      </c>
      <c r="B306" t="s">
        <v>779</v>
      </c>
      <c r="C306" t="s">
        <v>92</v>
      </c>
      <c r="D306" t="s">
        <v>122</v>
      </c>
      <c r="E306" t="s">
        <v>14</v>
      </c>
      <c r="F306" s="3">
        <v>498000</v>
      </c>
      <c r="G306" s="1">
        <v>0.2</v>
      </c>
      <c r="H306" s="3">
        <f t="shared" si="7"/>
        <v>398400</v>
      </c>
    </row>
    <row r="307" spans="1:8" x14ac:dyDescent="0.35">
      <c r="A307">
        <v>733187009</v>
      </c>
      <c r="B307" t="s">
        <v>124</v>
      </c>
      <c r="C307" t="s">
        <v>92</v>
      </c>
      <c r="D307" t="s">
        <v>122</v>
      </c>
      <c r="E307" t="s">
        <v>14</v>
      </c>
      <c r="F307" s="3">
        <v>498000</v>
      </c>
      <c r="G307" s="1">
        <v>0.2</v>
      </c>
      <c r="H307" s="3">
        <f t="shared" si="7"/>
        <v>398400</v>
      </c>
    </row>
    <row r="308" spans="1:8" x14ac:dyDescent="0.35">
      <c r="A308">
        <v>733187010</v>
      </c>
      <c r="B308" t="s">
        <v>121</v>
      </c>
      <c r="C308" t="s">
        <v>92</v>
      </c>
      <c r="D308" t="s">
        <v>122</v>
      </c>
      <c r="E308" t="s">
        <v>14</v>
      </c>
      <c r="F308" s="3">
        <v>498000</v>
      </c>
      <c r="G308" s="1">
        <v>0.2</v>
      </c>
      <c r="H308" s="3">
        <f t="shared" si="7"/>
        <v>398400</v>
      </c>
    </row>
    <row r="309" spans="1:8" x14ac:dyDescent="0.35">
      <c r="A309">
        <v>735666001</v>
      </c>
      <c r="B309" t="s">
        <v>127</v>
      </c>
      <c r="C309" t="s">
        <v>92</v>
      </c>
      <c r="D309" t="s">
        <v>122</v>
      </c>
      <c r="E309" t="s">
        <v>14</v>
      </c>
      <c r="F309" s="3">
        <v>498000</v>
      </c>
      <c r="G309" s="1">
        <v>0.2</v>
      </c>
      <c r="H309" s="3">
        <f t="shared" si="7"/>
        <v>398400</v>
      </c>
    </row>
    <row r="310" spans="1:8" x14ac:dyDescent="0.35">
      <c r="A310">
        <v>735666002</v>
      </c>
      <c r="B310" t="s">
        <v>780</v>
      </c>
      <c r="C310" t="s">
        <v>92</v>
      </c>
      <c r="D310" t="s">
        <v>122</v>
      </c>
      <c r="E310" t="s">
        <v>14</v>
      </c>
      <c r="F310" s="3">
        <v>498000</v>
      </c>
      <c r="G310" s="1">
        <v>0.2</v>
      </c>
      <c r="H310" s="3">
        <f t="shared" si="7"/>
        <v>398400</v>
      </c>
    </row>
    <row r="311" spans="1:8" x14ac:dyDescent="0.35">
      <c r="A311">
        <v>735666004</v>
      </c>
      <c r="B311" t="s">
        <v>781</v>
      </c>
      <c r="C311" t="s">
        <v>92</v>
      </c>
      <c r="D311" t="s">
        <v>122</v>
      </c>
      <c r="E311" t="s">
        <v>14</v>
      </c>
      <c r="F311" s="3">
        <v>498000</v>
      </c>
      <c r="G311" s="1">
        <v>0.2</v>
      </c>
      <c r="H311" s="3">
        <f t="shared" si="7"/>
        <v>398400</v>
      </c>
    </row>
    <row r="312" spans="1:8" x14ac:dyDescent="0.35">
      <c r="A312">
        <v>735666005</v>
      </c>
      <c r="B312" t="s">
        <v>128</v>
      </c>
      <c r="C312" t="s">
        <v>92</v>
      </c>
      <c r="D312" t="s">
        <v>122</v>
      </c>
      <c r="E312" t="s">
        <v>14</v>
      </c>
      <c r="F312" s="3">
        <v>498000</v>
      </c>
      <c r="G312" s="1">
        <v>0.2</v>
      </c>
      <c r="H312" s="3">
        <f t="shared" si="7"/>
        <v>398400</v>
      </c>
    </row>
    <row r="313" spans="1:8" x14ac:dyDescent="0.35">
      <c r="A313">
        <v>735666007</v>
      </c>
      <c r="B313" t="s">
        <v>126</v>
      </c>
      <c r="C313" t="s">
        <v>92</v>
      </c>
      <c r="D313" t="s">
        <v>122</v>
      </c>
      <c r="E313" t="s">
        <v>14</v>
      </c>
      <c r="F313" s="3">
        <v>498000</v>
      </c>
      <c r="G313" s="1">
        <v>0.2</v>
      </c>
      <c r="H313" s="3">
        <f t="shared" si="7"/>
        <v>398400</v>
      </c>
    </row>
    <row r="314" spans="1:8" x14ac:dyDescent="0.35">
      <c r="A314">
        <v>735666008</v>
      </c>
      <c r="B314" t="s">
        <v>125</v>
      </c>
      <c r="C314" t="s">
        <v>92</v>
      </c>
      <c r="D314" t="s">
        <v>122</v>
      </c>
      <c r="E314" t="s">
        <v>14</v>
      </c>
      <c r="F314" s="3">
        <v>498000</v>
      </c>
      <c r="G314" s="1">
        <v>0.2</v>
      </c>
      <c r="H314" s="3">
        <f t="shared" si="7"/>
        <v>398400</v>
      </c>
    </row>
    <row r="315" spans="1:8" x14ac:dyDescent="0.35">
      <c r="A315">
        <v>735666010</v>
      </c>
      <c r="B315" t="s">
        <v>782</v>
      </c>
      <c r="C315" t="s">
        <v>92</v>
      </c>
      <c r="D315" t="s">
        <v>122</v>
      </c>
      <c r="E315" t="s">
        <v>14</v>
      </c>
      <c r="F315" s="3">
        <v>498000</v>
      </c>
      <c r="G315" s="1">
        <v>0.2</v>
      </c>
      <c r="H315" s="3">
        <f t="shared" si="7"/>
        <v>398400</v>
      </c>
    </row>
    <row r="316" spans="1:8" x14ac:dyDescent="0.35">
      <c r="A316">
        <v>735667001</v>
      </c>
      <c r="B316" t="s">
        <v>131</v>
      </c>
      <c r="C316" t="s">
        <v>92</v>
      </c>
      <c r="D316" t="s">
        <v>122</v>
      </c>
      <c r="E316" t="s">
        <v>14</v>
      </c>
      <c r="F316" s="3">
        <v>478000</v>
      </c>
      <c r="G316" s="1">
        <v>0.2</v>
      </c>
      <c r="H316" s="3">
        <f t="shared" si="7"/>
        <v>382400</v>
      </c>
    </row>
    <row r="317" spans="1:8" x14ac:dyDescent="0.35">
      <c r="A317">
        <v>735667002</v>
      </c>
      <c r="B317" t="s">
        <v>783</v>
      </c>
      <c r="C317" t="s">
        <v>92</v>
      </c>
      <c r="D317" t="s">
        <v>122</v>
      </c>
      <c r="E317" t="s">
        <v>14</v>
      </c>
      <c r="F317" s="3">
        <v>478000</v>
      </c>
      <c r="G317" s="1">
        <v>0.2</v>
      </c>
      <c r="H317" s="3">
        <f t="shared" si="7"/>
        <v>382400</v>
      </c>
    </row>
    <row r="318" spans="1:8" x14ac:dyDescent="0.35">
      <c r="A318">
        <v>735667007</v>
      </c>
      <c r="B318" t="s">
        <v>132</v>
      </c>
      <c r="C318" t="s">
        <v>92</v>
      </c>
      <c r="D318" t="s">
        <v>122</v>
      </c>
      <c r="E318" t="s">
        <v>14</v>
      </c>
      <c r="F318" s="3">
        <v>478000</v>
      </c>
      <c r="G318" s="1">
        <v>0.2</v>
      </c>
      <c r="H318" s="3">
        <f t="shared" si="7"/>
        <v>382400</v>
      </c>
    </row>
    <row r="319" spans="1:8" x14ac:dyDescent="0.35">
      <c r="A319">
        <v>735667016</v>
      </c>
      <c r="B319" t="s">
        <v>133</v>
      </c>
      <c r="C319" t="s">
        <v>92</v>
      </c>
      <c r="D319" t="s">
        <v>122</v>
      </c>
      <c r="E319" t="s">
        <v>14</v>
      </c>
      <c r="F319" s="3">
        <v>478000</v>
      </c>
      <c r="G319" s="1">
        <v>0.2</v>
      </c>
      <c r="H319" s="3">
        <f t="shared" si="7"/>
        <v>382400</v>
      </c>
    </row>
    <row r="320" spans="1:8" x14ac:dyDescent="0.35">
      <c r="A320">
        <v>737163004</v>
      </c>
      <c r="B320" t="s">
        <v>784</v>
      </c>
      <c r="C320" t="s">
        <v>92</v>
      </c>
      <c r="D320" t="s">
        <v>122</v>
      </c>
      <c r="E320" t="s">
        <v>14</v>
      </c>
      <c r="F320" s="3">
        <v>428000</v>
      </c>
      <c r="G320" s="1">
        <v>0.2</v>
      </c>
      <c r="H320" s="3">
        <f t="shared" si="7"/>
        <v>342400</v>
      </c>
    </row>
    <row r="321" spans="1:8" x14ac:dyDescent="0.35">
      <c r="A321">
        <v>737163008</v>
      </c>
      <c r="B321" t="s">
        <v>129</v>
      </c>
      <c r="C321" t="s">
        <v>92</v>
      </c>
      <c r="D321" t="s">
        <v>122</v>
      </c>
      <c r="E321" t="s">
        <v>14</v>
      </c>
      <c r="F321" s="3">
        <v>428000</v>
      </c>
      <c r="G321" s="1">
        <v>0.2</v>
      </c>
      <c r="H321" s="3">
        <f t="shared" si="7"/>
        <v>342400</v>
      </c>
    </row>
    <row r="322" spans="1:8" x14ac:dyDescent="0.35">
      <c r="A322">
        <v>733012001</v>
      </c>
      <c r="B322" t="s">
        <v>785</v>
      </c>
      <c r="C322" t="s">
        <v>89</v>
      </c>
      <c r="D322" t="s">
        <v>122</v>
      </c>
      <c r="E322" t="s">
        <v>14</v>
      </c>
      <c r="F322" s="3">
        <v>298000</v>
      </c>
      <c r="G322" s="1">
        <v>0.5</v>
      </c>
      <c r="H322" s="3">
        <f t="shared" si="7"/>
        <v>149000</v>
      </c>
    </row>
    <row r="323" spans="1:8" x14ac:dyDescent="0.35">
      <c r="A323">
        <v>733012003</v>
      </c>
      <c r="B323" t="s">
        <v>786</v>
      </c>
      <c r="C323" t="s">
        <v>89</v>
      </c>
      <c r="D323" t="s">
        <v>122</v>
      </c>
      <c r="E323" t="s">
        <v>14</v>
      </c>
      <c r="F323" s="3">
        <v>298000</v>
      </c>
      <c r="G323" s="1">
        <v>0.5</v>
      </c>
      <c r="H323" s="3">
        <f t="shared" si="7"/>
        <v>149000</v>
      </c>
    </row>
    <row r="324" spans="1:8" x14ac:dyDescent="0.35">
      <c r="A324">
        <v>733110001</v>
      </c>
      <c r="B324" t="s">
        <v>787</v>
      </c>
      <c r="C324" t="s">
        <v>89</v>
      </c>
      <c r="D324" t="s">
        <v>122</v>
      </c>
      <c r="E324" t="s">
        <v>14</v>
      </c>
      <c r="F324" s="3">
        <v>158000</v>
      </c>
      <c r="G324" s="1">
        <v>0.3</v>
      </c>
      <c r="H324" s="3">
        <f t="shared" si="7"/>
        <v>110600</v>
      </c>
    </row>
    <row r="325" spans="1:8" x14ac:dyDescent="0.35">
      <c r="A325">
        <v>733110005</v>
      </c>
      <c r="B325" t="s">
        <v>788</v>
      </c>
      <c r="C325" t="s">
        <v>89</v>
      </c>
      <c r="D325" t="s">
        <v>122</v>
      </c>
      <c r="E325" t="s">
        <v>14</v>
      </c>
      <c r="F325" s="3">
        <v>158000</v>
      </c>
      <c r="G325" s="1">
        <v>0.3</v>
      </c>
      <c r="H325" s="3">
        <f t="shared" si="7"/>
        <v>110600</v>
      </c>
    </row>
    <row r="326" spans="1:8" x14ac:dyDescent="0.35">
      <c r="A326">
        <v>733110006</v>
      </c>
      <c r="B326" t="s">
        <v>789</v>
      </c>
      <c r="C326" t="s">
        <v>89</v>
      </c>
      <c r="D326" t="s">
        <v>122</v>
      </c>
      <c r="E326" t="s">
        <v>14</v>
      </c>
      <c r="F326" s="3">
        <v>158000</v>
      </c>
      <c r="G326" s="1">
        <v>0.3</v>
      </c>
      <c r="H326" s="3">
        <f t="shared" si="7"/>
        <v>110600</v>
      </c>
    </row>
    <row r="327" spans="1:8" x14ac:dyDescent="0.35">
      <c r="A327">
        <v>733110007</v>
      </c>
      <c r="B327" t="s">
        <v>790</v>
      </c>
      <c r="C327" t="s">
        <v>89</v>
      </c>
      <c r="D327" t="s">
        <v>122</v>
      </c>
      <c r="E327" t="s">
        <v>14</v>
      </c>
      <c r="F327" s="3">
        <v>158000</v>
      </c>
      <c r="G327" s="1">
        <v>0.3</v>
      </c>
      <c r="H327" s="3">
        <f t="shared" si="7"/>
        <v>110600</v>
      </c>
    </row>
    <row r="328" spans="1:8" x14ac:dyDescent="0.35">
      <c r="A328">
        <v>733110008</v>
      </c>
      <c r="B328" t="s">
        <v>791</v>
      </c>
      <c r="C328" t="s">
        <v>89</v>
      </c>
      <c r="D328" t="s">
        <v>122</v>
      </c>
      <c r="E328" t="s">
        <v>14</v>
      </c>
      <c r="F328" s="3">
        <v>158000</v>
      </c>
      <c r="G328" s="1">
        <v>0.3</v>
      </c>
      <c r="H328" s="3">
        <f t="shared" si="7"/>
        <v>110600</v>
      </c>
    </row>
    <row r="329" spans="1:8" x14ac:dyDescent="0.35">
      <c r="A329">
        <v>733110009</v>
      </c>
      <c r="B329" t="s">
        <v>792</v>
      </c>
      <c r="C329" t="s">
        <v>89</v>
      </c>
      <c r="D329" t="s">
        <v>122</v>
      </c>
      <c r="E329" t="s">
        <v>14</v>
      </c>
      <c r="F329" s="3">
        <v>158000</v>
      </c>
      <c r="G329" s="1">
        <v>0.3</v>
      </c>
      <c r="H329" s="3">
        <f t="shared" si="7"/>
        <v>110600</v>
      </c>
    </row>
    <row r="330" spans="1:8" x14ac:dyDescent="0.35">
      <c r="A330">
        <v>733110020</v>
      </c>
      <c r="B330" t="s">
        <v>793</v>
      </c>
      <c r="C330" t="s">
        <v>89</v>
      </c>
      <c r="D330" t="s">
        <v>122</v>
      </c>
      <c r="E330" t="s">
        <v>14</v>
      </c>
      <c r="F330" s="3">
        <v>158000</v>
      </c>
      <c r="G330" s="1">
        <v>0.3</v>
      </c>
      <c r="H330" s="3">
        <f t="shared" si="7"/>
        <v>110600</v>
      </c>
    </row>
    <row r="331" spans="1:8" x14ac:dyDescent="0.35">
      <c r="A331">
        <v>735133001</v>
      </c>
      <c r="B331" t="s">
        <v>794</v>
      </c>
      <c r="C331" t="s">
        <v>89</v>
      </c>
      <c r="D331" t="s">
        <v>122</v>
      </c>
      <c r="E331" t="s">
        <v>14</v>
      </c>
      <c r="F331" s="3">
        <v>298000</v>
      </c>
      <c r="G331" s="1">
        <v>0.5</v>
      </c>
      <c r="H331" s="3">
        <f t="shared" si="7"/>
        <v>149000</v>
      </c>
    </row>
    <row r="332" spans="1:8" x14ac:dyDescent="0.35">
      <c r="A332">
        <v>735133002</v>
      </c>
      <c r="B332" t="s">
        <v>795</v>
      </c>
      <c r="C332" t="s">
        <v>89</v>
      </c>
      <c r="D332" t="s">
        <v>122</v>
      </c>
      <c r="E332" t="s">
        <v>14</v>
      </c>
      <c r="F332" s="3">
        <v>298000</v>
      </c>
      <c r="G332" s="1">
        <v>0.5</v>
      </c>
      <c r="H332" s="3">
        <f t="shared" si="7"/>
        <v>149000</v>
      </c>
    </row>
    <row r="333" spans="1:8" x14ac:dyDescent="0.35">
      <c r="A333">
        <v>735133003</v>
      </c>
      <c r="B333" t="s">
        <v>796</v>
      </c>
      <c r="C333" t="s">
        <v>89</v>
      </c>
      <c r="D333" t="s">
        <v>122</v>
      </c>
      <c r="E333" t="s">
        <v>14</v>
      </c>
      <c r="F333" s="3">
        <v>298000</v>
      </c>
      <c r="G333" s="1">
        <v>0.5</v>
      </c>
      <c r="H333" s="3">
        <f t="shared" si="7"/>
        <v>149000</v>
      </c>
    </row>
    <row r="334" spans="1:8" x14ac:dyDescent="0.35">
      <c r="A334">
        <v>735133004</v>
      </c>
      <c r="B334" t="s">
        <v>797</v>
      </c>
      <c r="C334" t="s">
        <v>89</v>
      </c>
      <c r="D334" t="s">
        <v>122</v>
      </c>
      <c r="E334" t="s">
        <v>14</v>
      </c>
      <c r="F334" s="3">
        <v>298000</v>
      </c>
      <c r="G334" s="1">
        <v>0.5</v>
      </c>
      <c r="H334" s="3">
        <f t="shared" si="7"/>
        <v>149000</v>
      </c>
    </row>
    <row r="335" spans="1:8" x14ac:dyDescent="0.35">
      <c r="A335">
        <v>735133005</v>
      </c>
      <c r="B335" t="s">
        <v>798</v>
      </c>
      <c r="C335" t="s">
        <v>89</v>
      </c>
      <c r="D335" t="s">
        <v>122</v>
      </c>
      <c r="E335" t="s">
        <v>14</v>
      </c>
      <c r="F335" s="3">
        <v>298000</v>
      </c>
      <c r="G335" s="1">
        <v>0.5</v>
      </c>
      <c r="H335" s="3">
        <f t="shared" si="7"/>
        <v>149000</v>
      </c>
    </row>
    <row r="336" spans="1:8" x14ac:dyDescent="0.35">
      <c r="A336">
        <v>735133006</v>
      </c>
      <c r="B336" t="s">
        <v>799</v>
      </c>
      <c r="C336" t="s">
        <v>89</v>
      </c>
      <c r="D336" t="s">
        <v>122</v>
      </c>
      <c r="E336" t="s">
        <v>14</v>
      </c>
      <c r="F336" s="3">
        <v>298000</v>
      </c>
      <c r="G336" s="1">
        <v>0.5</v>
      </c>
      <c r="H336" s="3">
        <f t="shared" si="7"/>
        <v>149000</v>
      </c>
    </row>
    <row r="337" spans="1:8" x14ac:dyDescent="0.35">
      <c r="A337">
        <v>735134004</v>
      </c>
      <c r="B337" t="s">
        <v>800</v>
      </c>
      <c r="C337" t="s">
        <v>89</v>
      </c>
      <c r="D337" t="s">
        <v>122</v>
      </c>
      <c r="E337" t="s">
        <v>14</v>
      </c>
      <c r="F337" s="3">
        <v>228000</v>
      </c>
      <c r="G337" s="1">
        <v>0.5</v>
      </c>
      <c r="H337" s="3">
        <f t="shared" si="7"/>
        <v>114000</v>
      </c>
    </row>
    <row r="338" spans="1:8" x14ac:dyDescent="0.35">
      <c r="A338">
        <v>735134005</v>
      </c>
      <c r="B338" t="s">
        <v>801</v>
      </c>
      <c r="C338" t="s">
        <v>89</v>
      </c>
      <c r="D338" t="s">
        <v>122</v>
      </c>
      <c r="E338" t="s">
        <v>14</v>
      </c>
      <c r="F338" s="3">
        <v>228000</v>
      </c>
      <c r="G338" s="1">
        <v>0.5</v>
      </c>
      <c r="H338" s="3">
        <f t="shared" si="7"/>
        <v>114000</v>
      </c>
    </row>
    <row r="339" spans="1:8" x14ac:dyDescent="0.35">
      <c r="A339">
        <v>735134006</v>
      </c>
      <c r="B339" t="s">
        <v>802</v>
      </c>
      <c r="C339" t="s">
        <v>89</v>
      </c>
      <c r="D339" t="s">
        <v>122</v>
      </c>
      <c r="E339" t="s">
        <v>14</v>
      </c>
      <c r="F339" s="3">
        <v>228000</v>
      </c>
      <c r="G339" s="1">
        <v>0.5</v>
      </c>
      <c r="H339" s="3">
        <f t="shared" si="7"/>
        <v>114000</v>
      </c>
    </row>
    <row r="340" spans="1:8" x14ac:dyDescent="0.35">
      <c r="A340">
        <v>735134013</v>
      </c>
      <c r="B340" t="s">
        <v>803</v>
      </c>
      <c r="C340" t="s">
        <v>89</v>
      </c>
      <c r="D340" t="s">
        <v>122</v>
      </c>
      <c r="E340" t="s">
        <v>14</v>
      </c>
      <c r="F340" s="3">
        <v>228000</v>
      </c>
      <c r="G340" s="1">
        <v>0.5</v>
      </c>
      <c r="H340" s="3">
        <f t="shared" si="7"/>
        <v>114000</v>
      </c>
    </row>
    <row r="341" spans="1:8" x14ac:dyDescent="0.35">
      <c r="A341">
        <v>740120005</v>
      </c>
      <c r="B341" t="s">
        <v>804</v>
      </c>
      <c r="C341" t="s">
        <v>89</v>
      </c>
      <c r="D341" t="s">
        <v>122</v>
      </c>
      <c r="E341" t="s">
        <v>14</v>
      </c>
      <c r="F341" s="3">
        <v>148000</v>
      </c>
      <c r="G341" s="1">
        <v>0.3</v>
      </c>
      <c r="H341" s="3">
        <f t="shared" si="7"/>
        <v>103600</v>
      </c>
    </row>
    <row r="342" spans="1:8" x14ac:dyDescent="0.35">
      <c r="A342">
        <v>740120006</v>
      </c>
      <c r="B342" t="s">
        <v>805</v>
      </c>
      <c r="C342" t="s">
        <v>89</v>
      </c>
      <c r="D342" t="s">
        <v>122</v>
      </c>
      <c r="E342" t="s">
        <v>14</v>
      </c>
      <c r="F342" s="3">
        <v>148000</v>
      </c>
      <c r="G342" s="1">
        <v>0.3</v>
      </c>
      <c r="H342" s="3">
        <f t="shared" si="7"/>
        <v>103600</v>
      </c>
    </row>
    <row r="343" spans="1:8" x14ac:dyDescent="0.35">
      <c r="A343">
        <v>200435001</v>
      </c>
      <c r="B343" t="s">
        <v>806</v>
      </c>
      <c r="C343" t="s">
        <v>368</v>
      </c>
      <c r="D343" t="s">
        <v>460</v>
      </c>
      <c r="E343" t="s">
        <v>14</v>
      </c>
      <c r="F343" s="3">
        <v>44000</v>
      </c>
      <c r="G343" s="1">
        <v>0.2</v>
      </c>
      <c r="H343" s="3">
        <f t="shared" ref="H343:H357" si="8">F343*(1-G343)</f>
        <v>35200</v>
      </c>
    </row>
    <row r="344" spans="1:8" x14ac:dyDescent="0.35">
      <c r="A344">
        <v>200437001</v>
      </c>
      <c r="B344" t="s">
        <v>807</v>
      </c>
      <c r="C344" t="s">
        <v>368</v>
      </c>
      <c r="D344" t="s">
        <v>460</v>
      </c>
      <c r="E344" t="s">
        <v>14</v>
      </c>
      <c r="F344" s="3">
        <v>44000</v>
      </c>
      <c r="G344" s="1">
        <v>0.2</v>
      </c>
      <c r="H344" s="3">
        <f t="shared" si="8"/>
        <v>35200</v>
      </c>
    </row>
    <row r="345" spans="1:8" x14ac:dyDescent="0.35">
      <c r="A345">
        <v>201565001</v>
      </c>
      <c r="B345" t="s">
        <v>808</v>
      </c>
      <c r="C345" t="s">
        <v>368</v>
      </c>
      <c r="D345" t="s">
        <v>460</v>
      </c>
      <c r="E345" t="s">
        <v>14</v>
      </c>
      <c r="F345" s="3">
        <v>49000</v>
      </c>
      <c r="G345" s="1">
        <v>0.2</v>
      </c>
      <c r="H345" s="3">
        <f t="shared" si="8"/>
        <v>39200</v>
      </c>
    </row>
    <row r="346" spans="1:8" x14ac:dyDescent="0.35">
      <c r="A346">
        <v>720717001</v>
      </c>
      <c r="B346" t="s">
        <v>809</v>
      </c>
      <c r="C346" t="s">
        <v>97</v>
      </c>
      <c r="D346" t="s">
        <v>460</v>
      </c>
      <c r="E346" t="s">
        <v>14</v>
      </c>
      <c r="F346" s="3">
        <v>328000</v>
      </c>
      <c r="G346" s="1">
        <v>0.2</v>
      </c>
      <c r="H346" s="3">
        <f t="shared" si="8"/>
        <v>262400</v>
      </c>
    </row>
    <row r="347" spans="1:8" x14ac:dyDescent="0.35">
      <c r="A347">
        <v>731669001</v>
      </c>
      <c r="B347" t="s">
        <v>810</v>
      </c>
      <c r="C347" t="s">
        <v>97</v>
      </c>
      <c r="D347" t="s">
        <v>460</v>
      </c>
      <c r="E347" t="s">
        <v>14</v>
      </c>
      <c r="F347" s="3">
        <v>328000</v>
      </c>
      <c r="G347" s="1">
        <v>0.2</v>
      </c>
      <c r="H347" s="3">
        <f t="shared" si="8"/>
        <v>262400</v>
      </c>
    </row>
    <row r="348" spans="1:8" x14ac:dyDescent="0.35">
      <c r="A348">
        <v>733833001</v>
      </c>
      <c r="B348" t="s">
        <v>811</v>
      </c>
      <c r="C348" t="s">
        <v>97</v>
      </c>
      <c r="D348" t="s">
        <v>460</v>
      </c>
      <c r="E348" t="s">
        <v>14</v>
      </c>
      <c r="F348" s="3">
        <v>378000</v>
      </c>
      <c r="G348" s="1">
        <v>0.2</v>
      </c>
      <c r="H348" s="3">
        <f t="shared" si="8"/>
        <v>302400</v>
      </c>
    </row>
    <row r="349" spans="1:8" x14ac:dyDescent="0.35">
      <c r="A349">
        <v>716430001</v>
      </c>
      <c r="B349" t="s">
        <v>459</v>
      </c>
      <c r="C349" t="s">
        <v>449</v>
      </c>
      <c r="D349" t="s">
        <v>460</v>
      </c>
      <c r="E349" t="s">
        <v>14</v>
      </c>
      <c r="F349" s="3">
        <v>178000</v>
      </c>
      <c r="G349" s="1">
        <v>0.2</v>
      </c>
      <c r="H349" s="3">
        <f t="shared" si="8"/>
        <v>142400</v>
      </c>
    </row>
    <row r="350" spans="1:8" x14ac:dyDescent="0.35">
      <c r="A350">
        <v>716431001</v>
      </c>
      <c r="B350" t="s">
        <v>461</v>
      </c>
      <c r="C350" t="s">
        <v>449</v>
      </c>
      <c r="D350" t="s">
        <v>460</v>
      </c>
      <c r="E350" t="s">
        <v>14</v>
      </c>
      <c r="F350" s="3">
        <v>398000</v>
      </c>
      <c r="G350" s="1">
        <v>0.2</v>
      </c>
      <c r="H350" s="3">
        <f t="shared" si="8"/>
        <v>318400</v>
      </c>
    </row>
    <row r="351" spans="1:8" x14ac:dyDescent="0.35">
      <c r="A351">
        <v>723204001</v>
      </c>
      <c r="B351" t="s">
        <v>462</v>
      </c>
      <c r="C351" t="s">
        <v>449</v>
      </c>
      <c r="D351" t="s">
        <v>460</v>
      </c>
      <c r="E351" t="s">
        <v>14</v>
      </c>
      <c r="F351" s="3">
        <v>398000</v>
      </c>
      <c r="G351" s="1">
        <v>0.2</v>
      </c>
      <c r="H351" s="3">
        <f t="shared" si="8"/>
        <v>318400</v>
      </c>
    </row>
    <row r="352" spans="1:8" x14ac:dyDescent="0.35">
      <c r="A352">
        <v>723949001</v>
      </c>
      <c r="B352" t="s">
        <v>463</v>
      </c>
      <c r="C352" t="s">
        <v>449</v>
      </c>
      <c r="D352" t="s">
        <v>460</v>
      </c>
      <c r="E352" t="s">
        <v>14</v>
      </c>
      <c r="F352" s="3">
        <v>398000</v>
      </c>
      <c r="G352" s="1">
        <v>0.2</v>
      </c>
      <c r="H352" s="3">
        <f t="shared" si="8"/>
        <v>318400</v>
      </c>
    </row>
    <row r="353" spans="1:8" x14ac:dyDescent="0.35">
      <c r="A353">
        <v>734647</v>
      </c>
      <c r="B353" t="s">
        <v>812</v>
      </c>
      <c r="C353" t="s">
        <v>391</v>
      </c>
      <c r="D353" t="s">
        <v>146</v>
      </c>
      <c r="E353" t="s">
        <v>14</v>
      </c>
      <c r="F353" s="3">
        <v>298000</v>
      </c>
      <c r="G353" s="1">
        <v>0.7</v>
      </c>
      <c r="H353" s="3">
        <f t="shared" si="8"/>
        <v>89400.000000000015</v>
      </c>
    </row>
    <row r="354" spans="1:8" x14ac:dyDescent="0.35">
      <c r="A354">
        <v>734649</v>
      </c>
      <c r="B354" t="s">
        <v>813</v>
      </c>
      <c r="C354" t="s">
        <v>391</v>
      </c>
      <c r="D354" t="s">
        <v>146</v>
      </c>
      <c r="E354" t="s">
        <v>14</v>
      </c>
      <c r="F354" s="3">
        <v>298000</v>
      </c>
      <c r="G354" s="1">
        <v>0.7</v>
      </c>
      <c r="H354" s="3">
        <f t="shared" si="8"/>
        <v>89400.000000000015</v>
      </c>
    </row>
    <row r="355" spans="1:8" x14ac:dyDescent="0.35">
      <c r="A355">
        <v>734650</v>
      </c>
      <c r="B355" t="s">
        <v>814</v>
      </c>
      <c r="C355" t="s">
        <v>391</v>
      </c>
      <c r="D355" t="s">
        <v>146</v>
      </c>
      <c r="E355" t="s">
        <v>14</v>
      </c>
      <c r="F355" s="3">
        <v>298000</v>
      </c>
      <c r="G355" s="1">
        <v>0.7</v>
      </c>
      <c r="H355" s="3">
        <f t="shared" si="8"/>
        <v>89400.000000000015</v>
      </c>
    </row>
    <row r="356" spans="1:8" x14ac:dyDescent="0.35">
      <c r="A356">
        <v>734651</v>
      </c>
      <c r="B356" t="s">
        <v>815</v>
      </c>
      <c r="C356" t="s">
        <v>391</v>
      </c>
      <c r="D356" t="s">
        <v>146</v>
      </c>
      <c r="E356" t="s">
        <v>14</v>
      </c>
      <c r="F356" s="3">
        <v>298000</v>
      </c>
      <c r="G356" s="1">
        <v>0.7</v>
      </c>
      <c r="H356" s="3">
        <f t="shared" si="8"/>
        <v>89400.000000000015</v>
      </c>
    </row>
    <row r="357" spans="1:8" x14ac:dyDescent="0.35">
      <c r="A357">
        <v>734652</v>
      </c>
      <c r="B357" t="s">
        <v>816</v>
      </c>
      <c r="C357" t="s">
        <v>391</v>
      </c>
      <c r="D357" t="s">
        <v>146</v>
      </c>
      <c r="E357" t="s">
        <v>14</v>
      </c>
      <c r="F357" s="3">
        <v>298000</v>
      </c>
      <c r="G357" s="1">
        <v>0.7</v>
      </c>
      <c r="H357" s="3">
        <f t="shared" si="8"/>
        <v>89400.000000000015</v>
      </c>
    </row>
    <row r="358" spans="1:8" x14ac:dyDescent="0.35">
      <c r="A358">
        <v>200157</v>
      </c>
      <c r="B358" t="s">
        <v>464</v>
      </c>
      <c r="C358" t="s">
        <v>368</v>
      </c>
      <c r="D358" t="s">
        <v>146</v>
      </c>
      <c r="E358" t="s">
        <v>14</v>
      </c>
      <c r="F358" s="3">
        <v>89000</v>
      </c>
      <c r="G358" s="3">
        <v>69000</v>
      </c>
      <c r="H358" s="4">
        <f>G358</f>
        <v>69000</v>
      </c>
    </row>
    <row r="359" spans="1:8" x14ac:dyDescent="0.35">
      <c r="A359">
        <v>200839</v>
      </c>
      <c r="B359" t="s">
        <v>465</v>
      </c>
      <c r="C359" t="s">
        <v>368</v>
      </c>
      <c r="D359" t="s">
        <v>146</v>
      </c>
      <c r="E359" t="s">
        <v>14</v>
      </c>
      <c r="F359" s="3">
        <v>65000</v>
      </c>
      <c r="G359" s="3">
        <v>45000</v>
      </c>
      <c r="H359" s="4">
        <f>G359</f>
        <v>45000</v>
      </c>
    </row>
    <row r="360" spans="1:8" x14ac:dyDescent="0.35">
      <c r="A360">
        <v>200841</v>
      </c>
      <c r="B360" t="s">
        <v>466</v>
      </c>
      <c r="C360" t="s">
        <v>368</v>
      </c>
      <c r="D360" t="s">
        <v>146</v>
      </c>
      <c r="E360" t="s">
        <v>14</v>
      </c>
      <c r="F360" s="3">
        <v>95000</v>
      </c>
      <c r="G360" s="3">
        <v>75000</v>
      </c>
      <c r="H360" s="4">
        <f>G360</f>
        <v>75000</v>
      </c>
    </row>
    <row r="361" spans="1:8" x14ac:dyDescent="0.35">
      <c r="A361">
        <v>726441</v>
      </c>
      <c r="B361" t="s">
        <v>817</v>
      </c>
      <c r="C361" t="s">
        <v>97</v>
      </c>
      <c r="D361" t="s">
        <v>146</v>
      </c>
      <c r="E361" t="s">
        <v>14</v>
      </c>
      <c r="F361" s="3">
        <v>948000</v>
      </c>
      <c r="G361" s="1">
        <v>0.5</v>
      </c>
      <c r="H361" s="3">
        <f t="shared" ref="H361:H424" si="9">F361*(1-G361)</f>
        <v>474000</v>
      </c>
    </row>
    <row r="362" spans="1:8" x14ac:dyDescent="0.35">
      <c r="A362">
        <v>727042</v>
      </c>
      <c r="B362" t="s">
        <v>150</v>
      </c>
      <c r="C362" t="s">
        <v>97</v>
      </c>
      <c r="D362" t="s">
        <v>146</v>
      </c>
      <c r="E362" t="s">
        <v>14</v>
      </c>
      <c r="F362" s="3">
        <v>1798000</v>
      </c>
      <c r="G362" s="1">
        <v>0.2</v>
      </c>
      <c r="H362" s="3">
        <f t="shared" si="9"/>
        <v>1438400</v>
      </c>
    </row>
    <row r="363" spans="1:8" x14ac:dyDescent="0.35">
      <c r="A363">
        <v>727051</v>
      </c>
      <c r="B363" t="s">
        <v>151</v>
      </c>
      <c r="C363" t="s">
        <v>97</v>
      </c>
      <c r="D363" t="s">
        <v>146</v>
      </c>
      <c r="E363" t="s">
        <v>14</v>
      </c>
      <c r="F363" s="3">
        <v>1798000</v>
      </c>
      <c r="G363" s="1">
        <v>0.2</v>
      </c>
      <c r="H363" s="3">
        <f t="shared" si="9"/>
        <v>1438400</v>
      </c>
    </row>
    <row r="364" spans="1:8" x14ac:dyDescent="0.35">
      <c r="A364">
        <v>727053</v>
      </c>
      <c r="B364" t="s">
        <v>152</v>
      </c>
      <c r="C364" t="s">
        <v>97</v>
      </c>
      <c r="D364" t="s">
        <v>146</v>
      </c>
      <c r="E364" t="s">
        <v>14</v>
      </c>
      <c r="F364" s="3">
        <v>1798000</v>
      </c>
      <c r="G364" s="1">
        <v>0.2</v>
      </c>
      <c r="H364" s="3">
        <f t="shared" si="9"/>
        <v>1438400</v>
      </c>
    </row>
    <row r="365" spans="1:8" x14ac:dyDescent="0.35">
      <c r="A365">
        <v>727062</v>
      </c>
      <c r="B365" t="s">
        <v>154</v>
      </c>
      <c r="C365" t="s">
        <v>97</v>
      </c>
      <c r="D365" t="s">
        <v>146</v>
      </c>
      <c r="E365" t="s">
        <v>14</v>
      </c>
      <c r="F365" s="3">
        <v>1798000</v>
      </c>
      <c r="G365" s="1">
        <v>0.2</v>
      </c>
      <c r="H365" s="3">
        <f t="shared" si="9"/>
        <v>1438400</v>
      </c>
    </row>
    <row r="366" spans="1:8" x14ac:dyDescent="0.35">
      <c r="A366">
        <v>731736</v>
      </c>
      <c r="B366" t="s">
        <v>818</v>
      </c>
      <c r="C366" t="s">
        <v>97</v>
      </c>
      <c r="D366" t="s">
        <v>146</v>
      </c>
      <c r="F366" s="3">
        <v>4698000</v>
      </c>
      <c r="G366" s="1">
        <v>0.2</v>
      </c>
      <c r="H366" s="3">
        <f t="shared" si="9"/>
        <v>3758400</v>
      </c>
    </row>
    <row r="367" spans="1:8" x14ac:dyDescent="0.35">
      <c r="A367">
        <v>731737</v>
      </c>
      <c r="B367" t="s">
        <v>155</v>
      </c>
      <c r="C367" t="s">
        <v>97</v>
      </c>
      <c r="D367" t="s">
        <v>146</v>
      </c>
      <c r="E367" t="s">
        <v>14</v>
      </c>
      <c r="F367" s="3">
        <v>4698000</v>
      </c>
      <c r="G367" s="1">
        <v>0.2</v>
      </c>
      <c r="H367" s="3">
        <f t="shared" si="9"/>
        <v>3758400</v>
      </c>
    </row>
    <row r="368" spans="1:8" x14ac:dyDescent="0.35">
      <c r="A368">
        <v>731885</v>
      </c>
      <c r="B368" t="s">
        <v>147</v>
      </c>
      <c r="C368" t="s">
        <v>97</v>
      </c>
      <c r="D368" t="s">
        <v>146</v>
      </c>
      <c r="E368" t="s">
        <v>14</v>
      </c>
      <c r="F368" s="3">
        <v>1148000</v>
      </c>
      <c r="G368" s="1">
        <v>0.2</v>
      </c>
      <c r="H368" s="3">
        <f t="shared" si="9"/>
        <v>918400</v>
      </c>
    </row>
    <row r="369" spans="1:8" x14ac:dyDescent="0.35">
      <c r="A369">
        <v>731886</v>
      </c>
      <c r="B369" t="s">
        <v>148</v>
      </c>
      <c r="C369" t="s">
        <v>97</v>
      </c>
      <c r="D369" t="s">
        <v>146</v>
      </c>
      <c r="E369" t="s">
        <v>14</v>
      </c>
      <c r="F369" s="3">
        <v>1148000</v>
      </c>
      <c r="G369" s="1">
        <v>0.2</v>
      </c>
      <c r="H369" s="3">
        <f t="shared" si="9"/>
        <v>918400</v>
      </c>
    </row>
    <row r="370" spans="1:8" x14ac:dyDescent="0.35">
      <c r="A370">
        <v>733514</v>
      </c>
      <c r="B370" t="s">
        <v>156</v>
      </c>
      <c r="C370" t="s">
        <v>97</v>
      </c>
      <c r="D370" t="s">
        <v>146</v>
      </c>
      <c r="E370" t="s">
        <v>14</v>
      </c>
      <c r="F370" s="3">
        <v>4698000</v>
      </c>
      <c r="G370" s="1">
        <v>0.2</v>
      </c>
      <c r="H370" s="3">
        <f t="shared" si="9"/>
        <v>3758400</v>
      </c>
    </row>
    <row r="371" spans="1:8" x14ac:dyDescent="0.35">
      <c r="A371">
        <v>734391</v>
      </c>
      <c r="B371" t="s">
        <v>145</v>
      </c>
      <c r="C371" t="s">
        <v>97</v>
      </c>
      <c r="D371" t="s">
        <v>146</v>
      </c>
      <c r="E371" t="s">
        <v>14</v>
      </c>
      <c r="F371" s="3">
        <v>1148000</v>
      </c>
      <c r="G371" s="1">
        <v>0.2</v>
      </c>
      <c r="H371" s="3">
        <f t="shared" si="9"/>
        <v>918400</v>
      </c>
    </row>
    <row r="372" spans="1:8" x14ac:dyDescent="0.35">
      <c r="A372">
        <v>734396</v>
      </c>
      <c r="B372" t="s">
        <v>149</v>
      </c>
      <c r="C372" t="s">
        <v>97</v>
      </c>
      <c r="D372" t="s">
        <v>146</v>
      </c>
      <c r="E372" t="s">
        <v>14</v>
      </c>
      <c r="F372" s="3">
        <v>848000</v>
      </c>
      <c r="G372" s="1">
        <v>0.2</v>
      </c>
      <c r="H372" s="3">
        <f t="shared" si="9"/>
        <v>678400</v>
      </c>
    </row>
    <row r="373" spans="1:8" x14ac:dyDescent="0.35">
      <c r="A373">
        <v>736110</v>
      </c>
      <c r="B373" t="s">
        <v>350</v>
      </c>
      <c r="C373" t="s">
        <v>97</v>
      </c>
      <c r="D373" t="s">
        <v>146</v>
      </c>
      <c r="E373" t="s">
        <v>14</v>
      </c>
      <c r="F373" s="3">
        <v>498000</v>
      </c>
      <c r="G373" s="1">
        <v>0.2</v>
      </c>
      <c r="H373" s="3">
        <f t="shared" si="9"/>
        <v>398400</v>
      </c>
    </row>
    <row r="374" spans="1:8" x14ac:dyDescent="0.35">
      <c r="A374">
        <v>723946</v>
      </c>
      <c r="B374" t="s">
        <v>468</v>
      </c>
      <c r="C374" t="s">
        <v>449</v>
      </c>
      <c r="D374" t="s">
        <v>146</v>
      </c>
      <c r="E374" t="s">
        <v>14</v>
      </c>
      <c r="F374" s="3">
        <v>2148000</v>
      </c>
      <c r="G374" s="1">
        <v>0.2</v>
      </c>
      <c r="H374" s="3">
        <f t="shared" si="9"/>
        <v>1718400</v>
      </c>
    </row>
    <row r="375" spans="1:8" x14ac:dyDescent="0.35">
      <c r="A375">
        <v>724311</v>
      </c>
      <c r="B375" t="s">
        <v>469</v>
      </c>
      <c r="C375" t="s">
        <v>449</v>
      </c>
      <c r="D375" t="s">
        <v>146</v>
      </c>
      <c r="E375" t="s">
        <v>14</v>
      </c>
      <c r="F375" s="3">
        <v>2148000</v>
      </c>
      <c r="G375" s="1">
        <v>0.2</v>
      </c>
      <c r="H375" s="3">
        <f t="shared" si="9"/>
        <v>1718400</v>
      </c>
    </row>
    <row r="376" spans="1:8" x14ac:dyDescent="0.35">
      <c r="A376">
        <v>730175</v>
      </c>
      <c r="B376" t="s">
        <v>819</v>
      </c>
      <c r="C376" t="s">
        <v>820</v>
      </c>
      <c r="D376" t="s">
        <v>146</v>
      </c>
      <c r="E376" t="s">
        <v>14</v>
      </c>
      <c r="F376" s="3">
        <v>998000</v>
      </c>
      <c r="G376" s="1">
        <v>0.5</v>
      </c>
      <c r="H376" s="3">
        <f t="shared" si="9"/>
        <v>499000</v>
      </c>
    </row>
    <row r="377" spans="1:8" x14ac:dyDescent="0.35">
      <c r="A377">
        <v>730178</v>
      </c>
      <c r="B377" t="s">
        <v>821</v>
      </c>
      <c r="C377" t="s">
        <v>820</v>
      </c>
      <c r="D377" t="s">
        <v>146</v>
      </c>
      <c r="E377" t="s">
        <v>14</v>
      </c>
      <c r="F377" s="3">
        <v>998000</v>
      </c>
      <c r="G377" s="1">
        <v>0.5</v>
      </c>
      <c r="H377" s="3">
        <f t="shared" si="9"/>
        <v>499000</v>
      </c>
    </row>
    <row r="378" spans="1:8" x14ac:dyDescent="0.35">
      <c r="A378">
        <v>734808</v>
      </c>
      <c r="B378" t="s">
        <v>822</v>
      </c>
      <c r="C378" t="s">
        <v>820</v>
      </c>
      <c r="D378" t="s">
        <v>146</v>
      </c>
      <c r="E378" t="s">
        <v>14</v>
      </c>
      <c r="F378" s="3">
        <v>998000</v>
      </c>
      <c r="G378" s="1">
        <v>0.5</v>
      </c>
      <c r="H378" s="3">
        <f t="shared" si="9"/>
        <v>499000</v>
      </c>
    </row>
    <row r="379" spans="1:8" x14ac:dyDescent="0.35">
      <c r="A379">
        <v>734809</v>
      </c>
      <c r="B379" t="s">
        <v>823</v>
      </c>
      <c r="C379" t="s">
        <v>820</v>
      </c>
      <c r="D379" t="s">
        <v>146</v>
      </c>
      <c r="E379" t="s">
        <v>14</v>
      </c>
      <c r="F379" s="3">
        <v>998000</v>
      </c>
      <c r="G379" s="1">
        <v>0.5</v>
      </c>
      <c r="H379" s="3">
        <f t="shared" si="9"/>
        <v>499000</v>
      </c>
    </row>
    <row r="380" spans="1:8" x14ac:dyDescent="0.35">
      <c r="A380">
        <v>734813</v>
      </c>
      <c r="B380" t="s">
        <v>824</v>
      </c>
      <c r="C380" t="s">
        <v>820</v>
      </c>
      <c r="D380" t="s">
        <v>146</v>
      </c>
      <c r="E380" t="s">
        <v>14</v>
      </c>
      <c r="F380" s="3">
        <v>998000</v>
      </c>
      <c r="G380" s="1">
        <v>0.5</v>
      </c>
      <c r="H380" s="3">
        <f t="shared" si="9"/>
        <v>499000</v>
      </c>
    </row>
    <row r="381" spans="1:8" x14ac:dyDescent="0.35">
      <c r="A381">
        <v>734817</v>
      </c>
      <c r="B381" t="s">
        <v>825</v>
      </c>
      <c r="C381" t="s">
        <v>820</v>
      </c>
      <c r="D381" t="s">
        <v>146</v>
      </c>
      <c r="E381" t="s">
        <v>14</v>
      </c>
      <c r="F381" s="3">
        <v>998000</v>
      </c>
      <c r="G381" s="1">
        <v>0.5</v>
      </c>
      <c r="H381" s="3">
        <f t="shared" si="9"/>
        <v>499000</v>
      </c>
    </row>
    <row r="382" spans="1:8" x14ac:dyDescent="0.35">
      <c r="A382">
        <v>734824</v>
      </c>
      <c r="B382" t="s">
        <v>826</v>
      </c>
      <c r="C382" t="s">
        <v>820</v>
      </c>
      <c r="D382" t="s">
        <v>146</v>
      </c>
      <c r="E382" t="s">
        <v>14</v>
      </c>
      <c r="F382" s="3">
        <v>998000</v>
      </c>
      <c r="G382" s="1">
        <v>0.5</v>
      </c>
      <c r="H382" s="3">
        <f t="shared" si="9"/>
        <v>499000</v>
      </c>
    </row>
    <row r="383" spans="1:8" x14ac:dyDescent="0.35">
      <c r="A383">
        <v>734827</v>
      </c>
      <c r="B383" t="s">
        <v>827</v>
      </c>
      <c r="C383" t="s">
        <v>820</v>
      </c>
      <c r="D383" t="s">
        <v>146</v>
      </c>
      <c r="E383" t="s">
        <v>14</v>
      </c>
      <c r="F383" s="3">
        <v>998000</v>
      </c>
      <c r="G383" s="1">
        <v>0.5</v>
      </c>
      <c r="H383" s="3">
        <f t="shared" si="9"/>
        <v>499000</v>
      </c>
    </row>
    <row r="384" spans="1:8" x14ac:dyDescent="0.35">
      <c r="A384">
        <v>734829</v>
      </c>
      <c r="B384" t="s">
        <v>828</v>
      </c>
      <c r="C384" t="s">
        <v>820</v>
      </c>
      <c r="D384" t="s">
        <v>146</v>
      </c>
      <c r="E384" t="s">
        <v>14</v>
      </c>
      <c r="F384" s="3">
        <v>998000</v>
      </c>
      <c r="G384" s="1">
        <v>0.5</v>
      </c>
      <c r="H384" s="3">
        <f t="shared" si="9"/>
        <v>499000</v>
      </c>
    </row>
    <row r="385" spans="1:8" x14ac:dyDescent="0.35">
      <c r="A385">
        <v>734830</v>
      </c>
      <c r="B385" t="s">
        <v>829</v>
      </c>
      <c r="C385" t="s">
        <v>820</v>
      </c>
      <c r="D385" t="s">
        <v>146</v>
      </c>
      <c r="E385" t="s">
        <v>14</v>
      </c>
      <c r="F385" s="3">
        <v>998000</v>
      </c>
      <c r="G385" s="1">
        <v>0.5</v>
      </c>
      <c r="H385" s="3">
        <f t="shared" si="9"/>
        <v>499000</v>
      </c>
    </row>
    <row r="386" spans="1:8" x14ac:dyDescent="0.35">
      <c r="A386">
        <v>734834</v>
      </c>
      <c r="B386" t="s">
        <v>830</v>
      </c>
      <c r="C386" t="s">
        <v>820</v>
      </c>
      <c r="D386" t="s">
        <v>146</v>
      </c>
      <c r="E386" t="s">
        <v>14</v>
      </c>
      <c r="F386" s="3">
        <v>598000</v>
      </c>
      <c r="G386" s="1">
        <v>0.5</v>
      </c>
      <c r="H386" s="3">
        <f t="shared" si="9"/>
        <v>299000</v>
      </c>
    </row>
    <row r="387" spans="1:8" x14ac:dyDescent="0.35">
      <c r="A387">
        <v>734835</v>
      </c>
      <c r="B387" t="s">
        <v>831</v>
      </c>
      <c r="C387" t="s">
        <v>820</v>
      </c>
      <c r="D387" t="s">
        <v>146</v>
      </c>
      <c r="E387" t="s">
        <v>14</v>
      </c>
      <c r="F387" s="3">
        <v>598000</v>
      </c>
      <c r="G387" s="1">
        <v>0.5</v>
      </c>
      <c r="H387" s="3">
        <f t="shared" si="9"/>
        <v>299000</v>
      </c>
    </row>
    <row r="388" spans="1:8" x14ac:dyDescent="0.35">
      <c r="A388">
        <v>734836</v>
      </c>
      <c r="B388" t="s">
        <v>832</v>
      </c>
      <c r="C388" t="s">
        <v>820</v>
      </c>
      <c r="D388" t="s">
        <v>146</v>
      </c>
      <c r="E388" t="s">
        <v>14</v>
      </c>
      <c r="F388" s="3">
        <v>598000</v>
      </c>
      <c r="G388" s="1">
        <v>0.5</v>
      </c>
      <c r="H388" s="3">
        <f t="shared" si="9"/>
        <v>299000</v>
      </c>
    </row>
    <row r="389" spans="1:8" x14ac:dyDescent="0.35">
      <c r="A389">
        <v>734839</v>
      </c>
      <c r="B389" t="s">
        <v>833</v>
      </c>
      <c r="C389" t="s">
        <v>820</v>
      </c>
      <c r="D389" t="s">
        <v>146</v>
      </c>
      <c r="E389" t="s">
        <v>14</v>
      </c>
      <c r="F389" s="3">
        <v>598000</v>
      </c>
      <c r="G389" s="1">
        <v>0.5</v>
      </c>
      <c r="H389" s="3">
        <f t="shared" si="9"/>
        <v>299000</v>
      </c>
    </row>
    <row r="390" spans="1:8" x14ac:dyDescent="0.35">
      <c r="A390">
        <v>734840</v>
      </c>
      <c r="B390" t="s">
        <v>834</v>
      </c>
      <c r="C390" t="s">
        <v>820</v>
      </c>
      <c r="D390" t="s">
        <v>146</v>
      </c>
      <c r="E390" t="s">
        <v>14</v>
      </c>
      <c r="F390" s="3">
        <v>598000</v>
      </c>
      <c r="G390" s="1">
        <v>0.5</v>
      </c>
      <c r="H390" s="3">
        <f t="shared" si="9"/>
        <v>299000</v>
      </c>
    </row>
    <row r="391" spans="1:8" x14ac:dyDescent="0.35">
      <c r="A391">
        <v>734843</v>
      </c>
      <c r="B391" t="s">
        <v>835</v>
      </c>
      <c r="C391" t="s">
        <v>820</v>
      </c>
      <c r="D391" t="s">
        <v>146</v>
      </c>
      <c r="E391" t="s">
        <v>14</v>
      </c>
      <c r="F391" s="3">
        <v>598000</v>
      </c>
      <c r="G391" s="1">
        <v>0.5</v>
      </c>
      <c r="H391" s="3">
        <f t="shared" si="9"/>
        <v>299000</v>
      </c>
    </row>
    <row r="392" spans="1:8" x14ac:dyDescent="0.35">
      <c r="A392">
        <v>734849</v>
      </c>
      <c r="B392" t="s">
        <v>836</v>
      </c>
      <c r="C392" t="s">
        <v>820</v>
      </c>
      <c r="D392" t="s">
        <v>146</v>
      </c>
      <c r="E392" t="s">
        <v>14</v>
      </c>
      <c r="F392" s="3">
        <v>478000</v>
      </c>
      <c r="G392" s="1">
        <v>0.5</v>
      </c>
      <c r="H392" s="3">
        <f t="shared" si="9"/>
        <v>239000</v>
      </c>
    </row>
    <row r="393" spans="1:8" x14ac:dyDescent="0.35">
      <c r="A393">
        <v>734850</v>
      </c>
      <c r="B393" t="s">
        <v>837</v>
      </c>
      <c r="C393" t="s">
        <v>820</v>
      </c>
      <c r="D393" t="s">
        <v>146</v>
      </c>
      <c r="E393" t="s">
        <v>14</v>
      </c>
      <c r="F393" s="3">
        <v>478000</v>
      </c>
      <c r="G393" s="1">
        <v>0.5</v>
      </c>
      <c r="H393" s="3">
        <f t="shared" si="9"/>
        <v>239000</v>
      </c>
    </row>
    <row r="394" spans="1:8" x14ac:dyDescent="0.35">
      <c r="A394">
        <v>717386</v>
      </c>
      <c r="B394" t="s">
        <v>838</v>
      </c>
      <c r="C394" t="s">
        <v>555</v>
      </c>
      <c r="D394" t="s">
        <v>146</v>
      </c>
      <c r="E394" t="s">
        <v>14</v>
      </c>
      <c r="F394" s="3">
        <v>478000</v>
      </c>
      <c r="G394" s="1">
        <v>0.7</v>
      </c>
      <c r="H394" s="3">
        <f t="shared" si="9"/>
        <v>143400.00000000003</v>
      </c>
    </row>
    <row r="395" spans="1:8" x14ac:dyDescent="0.35">
      <c r="A395">
        <v>726613</v>
      </c>
      <c r="B395" t="s">
        <v>839</v>
      </c>
      <c r="C395" t="s">
        <v>555</v>
      </c>
      <c r="D395" t="s">
        <v>146</v>
      </c>
      <c r="E395" t="s">
        <v>14</v>
      </c>
      <c r="F395" s="3">
        <v>478000</v>
      </c>
      <c r="G395" s="1">
        <v>0.7</v>
      </c>
      <c r="H395" s="3">
        <f t="shared" si="9"/>
        <v>143400.00000000003</v>
      </c>
    </row>
    <row r="396" spans="1:8" x14ac:dyDescent="0.35">
      <c r="A396">
        <v>730307</v>
      </c>
      <c r="B396" t="s">
        <v>840</v>
      </c>
      <c r="C396" t="s">
        <v>391</v>
      </c>
      <c r="D396" t="s">
        <v>140</v>
      </c>
      <c r="E396" t="s">
        <v>14</v>
      </c>
      <c r="F396" s="3">
        <v>298000</v>
      </c>
      <c r="G396" s="1">
        <v>0.7</v>
      </c>
      <c r="H396" s="3">
        <f t="shared" si="9"/>
        <v>89400.000000000015</v>
      </c>
    </row>
    <row r="397" spans="1:8" x14ac:dyDescent="0.35">
      <c r="A397">
        <v>734631</v>
      </c>
      <c r="B397" t="s">
        <v>841</v>
      </c>
      <c r="C397" t="s">
        <v>391</v>
      </c>
      <c r="D397" t="s">
        <v>140</v>
      </c>
      <c r="E397" t="s">
        <v>14</v>
      </c>
      <c r="F397" s="3">
        <v>348000</v>
      </c>
      <c r="G397" s="1">
        <v>0.7</v>
      </c>
      <c r="H397" s="3">
        <f t="shared" si="9"/>
        <v>104400.00000000001</v>
      </c>
    </row>
    <row r="398" spans="1:8" x14ac:dyDescent="0.35">
      <c r="A398">
        <v>734632</v>
      </c>
      <c r="B398" t="s">
        <v>842</v>
      </c>
      <c r="C398" t="s">
        <v>391</v>
      </c>
      <c r="D398" t="s">
        <v>140</v>
      </c>
      <c r="E398" t="s">
        <v>14</v>
      </c>
      <c r="F398" s="3">
        <v>348000</v>
      </c>
      <c r="G398" s="1">
        <v>0.7</v>
      </c>
      <c r="H398" s="3">
        <f t="shared" si="9"/>
        <v>104400.00000000001</v>
      </c>
    </row>
    <row r="399" spans="1:8" x14ac:dyDescent="0.35">
      <c r="A399">
        <v>734635</v>
      </c>
      <c r="B399" t="s">
        <v>843</v>
      </c>
      <c r="C399" t="s">
        <v>391</v>
      </c>
      <c r="D399" t="s">
        <v>140</v>
      </c>
      <c r="E399" t="s">
        <v>14</v>
      </c>
      <c r="F399" s="3">
        <v>348000</v>
      </c>
      <c r="G399" s="1">
        <v>0.7</v>
      </c>
      <c r="H399" s="3">
        <f t="shared" si="9"/>
        <v>104400.00000000001</v>
      </c>
    </row>
    <row r="400" spans="1:8" x14ac:dyDescent="0.35">
      <c r="A400">
        <v>734636</v>
      </c>
      <c r="B400" t="s">
        <v>844</v>
      </c>
      <c r="C400" t="s">
        <v>391</v>
      </c>
      <c r="D400" t="s">
        <v>140</v>
      </c>
      <c r="E400" t="s">
        <v>14</v>
      </c>
      <c r="F400" s="3">
        <v>348000</v>
      </c>
      <c r="G400" s="1">
        <v>0.7</v>
      </c>
      <c r="H400" s="3">
        <f t="shared" si="9"/>
        <v>104400.00000000001</v>
      </c>
    </row>
    <row r="401" spans="1:8" x14ac:dyDescent="0.35">
      <c r="A401">
        <v>734637</v>
      </c>
      <c r="B401" t="s">
        <v>845</v>
      </c>
      <c r="C401" t="s">
        <v>391</v>
      </c>
      <c r="D401" t="s">
        <v>140</v>
      </c>
      <c r="E401" t="s">
        <v>14</v>
      </c>
      <c r="F401" s="3">
        <v>398000</v>
      </c>
      <c r="G401" s="1">
        <v>0.7</v>
      </c>
      <c r="H401" s="3">
        <f t="shared" si="9"/>
        <v>119400.00000000001</v>
      </c>
    </row>
    <row r="402" spans="1:8" x14ac:dyDescent="0.35">
      <c r="A402">
        <v>734638</v>
      </c>
      <c r="B402" t="s">
        <v>846</v>
      </c>
      <c r="C402" t="s">
        <v>391</v>
      </c>
      <c r="D402" t="s">
        <v>140</v>
      </c>
      <c r="E402" t="s">
        <v>14</v>
      </c>
      <c r="F402" s="3">
        <v>398000</v>
      </c>
      <c r="G402" s="1">
        <v>0.7</v>
      </c>
      <c r="H402" s="3">
        <f t="shared" si="9"/>
        <v>119400.00000000001</v>
      </c>
    </row>
    <row r="403" spans="1:8" x14ac:dyDescent="0.35">
      <c r="A403">
        <v>734639</v>
      </c>
      <c r="B403" t="s">
        <v>847</v>
      </c>
      <c r="C403" t="s">
        <v>391</v>
      </c>
      <c r="D403" t="s">
        <v>140</v>
      </c>
      <c r="E403" t="s">
        <v>14</v>
      </c>
      <c r="F403" s="3">
        <v>398000</v>
      </c>
      <c r="G403" s="1">
        <v>0.7</v>
      </c>
      <c r="H403" s="3">
        <f t="shared" si="9"/>
        <v>119400.00000000001</v>
      </c>
    </row>
    <row r="404" spans="1:8" x14ac:dyDescent="0.35">
      <c r="A404">
        <v>734640</v>
      </c>
      <c r="B404" t="s">
        <v>848</v>
      </c>
      <c r="C404" t="s">
        <v>391</v>
      </c>
      <c r="D404" t="s">
        <v>140</v>
      </c>
      <c r="E404" t="s">
        <v>14</v>
      </c>
      <c r="F404" s="3">
        <v>398000</v>
      </c>
      <c r="G404" s="1">
        <v>0.7</v>
      </c>
      <c r="H404" s="3">
        <f t="shared" si="9"/>
        <v>119400.00000000001</v>
      </c>
    </row>
    <row r="405" spans="1:8" x14ac:dyDescent="0.35">
      <c r="A405">
        <v>734641</v>
      </c>
      <c r="B405" t="s">
        <v>849</v>
      </c>
      <c r="C405" t="s">
        <v>391</v>
      </c>
      <c r="D405" t="s">
        <v>140</v>
      </c>
      <c r="E405" t="s">
        <v>14</v>
      </c>
      <c r="F405" s="3">
        <v>398000</v>
      </c>
      <c r="G405" s="1">
        <v>0.7</v>
      </c>
      <c r="H405" s="3">
        <f t="shared" si="9"/>
        <v>119400.00000000001</v>
      </c>
    </row>
    <row r="406" spans="1:8" x14ac:dyDescent="0.35">
      <c r="A406">
        <v>734642</v>
      </c>
      <c r="B406" t="s">
        <v>850</v>
      </c>
      <c r="C406" t="s">
        <v>391</v>
      </c>
      <c r="D406" t="s">
        <v>140</v>
      </c>
      <c r="E406" t="s">
        <v>14</v>
      </c>
      <c r="F406" s="3">
        <v>398000</v>
      </c>
      <c r="G406" s="1">
        <v>0.7</v>
      </c>
      <c r="H406" s="3">
        <f t="shared" si="9"/>
        <v>119400.00000000001</v>
      </c>
    </row>
    <row r="407" spans="1:8" x14ac:dyDescent="0.35">
      <c r="A407">
        <v>734643</v>
      </c>
      <c r="B407" t="s">
        <v>851</v>
      </c>
      <c r="C407" t="s">
        <v>391</v>
      </c>
      <c r="D407" t="s">
        <v>140</v>
      </c>
      <c r="E407" t="s">
        <v>14</v>
      </c>
      <c r="F407" s="3">
        <v>398000</v>
      </c>
      <c r="G407" s="1">
        <v>0.7</v>
      </c>
      <c r="H407" s="3">
        <f t="shared" si="9"/>
        <v>119400.00000000001</v>
      </c>
    </row>
    <row r="408" spans="1:8" x14ac:dyDescent="0.35">
      <c r="A408">
        <v>734644</v>
      </c>
      <c r="B408" t="s">
        <v>852</v>
      </c>
      <c r="C408" t="s">
        <v>391</v>
      </c>
      <c r="D408" t="s">
        <v>140</v>
      </c>
      <c r="E408" t="s">
        <v>14</v>
      </c>
      <c r="F408" s="3">
        <v>398000</v>
      </c>
      <c r="G408" s="1">
        <v>0.7</v>
      </c>
      <c r="H408" s="3">
        <f t="shared" si="9"/>
        <v>119400.00000000001</v>
      </c>
    </row>
    <row r="409" spans="1:8" x14ac:dyDescent="0.35">
      <c r="A409">
        <v>736226</v>
      </c>
      <c r="B409" t="s">
        <v>853</v>
      </c>
      <c r="C409" t="s">
        <v>391</v>
      </c>
      <c r="D409" t="s">
        <v>140</v>
      </c>
      <c r="E409" t="s">
        <v>14</v>
      </c>
      <c r="F409" s="3">
        <v>348000</v>
      </c>
      <c r="G409" s="1">
        <v>0.7</v>
      </c>
      <c r="H409" s="3">
        <f t="shared" si="9"/>
        <v>104400.00000000001</v>
      </c>
    </row>
    <row r="410" spans="1:8" x14ac:dyDescent="0.35">
      <c r="A410">
        <v>736227</v>
      </c>
      <c r="B410" t="s">
        <v>854</v>
      </c>
      <c r="C410" t="s">
        <v>391</v>
      </c>
      <c r="D410" t="s">
        <v>140</v>
      </c>
      <c r="E410" t="s">
        <v>14</v>
      </c>
      <c r="F410" s="3">
        <v>348000</v>
      </c>
      <c r="G410" s="1">
        <v>0.7</v>
      </c>
      <c r="H410" s="3">
        <f t="shared" si="9"/>
        <v>104400.00000000001</v>
      </c>
    </row>
    <row r="411" spans="1:8" x14ac:dyDescent="0.35">
      <c r="A411">
        <v>736232</v>
      </c>
      <c r="B411" t="s">
        <v>855</v>
      </c>
      <c r="C411" t="s">
        <v>391</v>
      </c>
      <c r="D411" t="s">
        <v>140</v>
      </c>
      <c r="E411" t="s">
        <v>14</v>
      </c>
      <c r="F411" s="3">
        <v>398000</v>
      </c>
      <c r="G411" s="1">
        <v>0.7</v>
      </c>
      <c r="H411" s="3">
        <f t="shared" si="9"/>
        <v>119400.00000000001</v>
      </c>
    </row>
    <row r="412" spans="1:8" x14ac:dyDescent="0.35">
      <c r="A412">
        <v>736233</v>
      </c>
      <c r="B412" t="s">
        <v>856</v>
      </c>
      <c r="C412" t="s">
        <v>391</v>
      </c>
      <c r="D412" t="s">
        <v>140</v>
      </c>
      <c r="E412" t="s">
        <v>14</v>
      </c>
      <c r="F412" s="3">
        <v>398000</v>
      </c>
      <c r="G412" s="1">
        <v>0.7</v>
      </c>
      <c r="H412" s="3">
        <f t="shared" si="9"/>
        <v>119400.00000000001</v>
      </c>
    </row>
    <row r="413" spans="1:8" x14ac:dyDescent="0.35">
      <c r="A413">
        <v>736234</v>
      </c>
      <c r="B413" t="s">
        <v>857</v>
      </c>
      <c r="C413" t="s">
        <v>391</v>
      </c>
      <c r="D413" t="s">
        <v>140</v>
      </c>
      <c r="E413" t="s">
        <v>14</v>
      </c>
      <c r="F413" s="3">
        <v>398000</v>
      </c>
      <c r="G413" s="1">
        <v>0.7</v>
      </c>
      <c r="H413" s="3">
        <f t="shared" si="9"/>
        <v>119400.00000000001</v>
      </c>
    </row>
    <row r="414" spans="1:8" x14ac:dyDescent="0.35">
      <c r="A414">
        <v>736235</v>
      </c>
      <c r="B414" t="s">
        <v>858</v>
      </c>
      <c r="C414" t="s">
        <v>391</v>
      </c>
      <c r="D414" t="s">
        <v>140</v>
      </c>
      <c r="E414" t="s">
        <v>14</v>
      </c>
      <c r="F414" s="3">
        <v>398000</v>
      </c>
      <c r="G414" s="1">
        <v>0.7</v>
      </c>
      <c r="H414" s="3">
        <f t="shared" si="9"/>
        <v>119400.00000000001</v>
      </c>
    </row>
    <row r="415" spans="1:8" x14ac:dyDescent="0.35">
      <c r="A415">
        <v>736238</v>
      </c>
      <c r="B415" t="s">
        <v>859</v>
      </c>
      <c r="C415" t="s">
        <v>391</v>
      </c>
      <c r="D415" t="s">
        <v>140</v>
      </c>
      <c r="E415" t="s">
        <v>14</v>
      </c>
      <c r="F415" s="3">
        <v>398000</v>
      </c>
      <c r="G415" s="1">
        <v>0.7</v>
      </c>
      <c r="H415" s="3">
        <f t="shared" si="9"/>
        <v>119400.00000000001</v>
      </c>
    </row>
    <row r="416" spans="1:8" x14ac:dyDescent="0.35">
      <c r="A416">
        <v>737268</v>
      </c>
      <c r="B416" t="s">
        <v>432</v>
      </c>
      <c r="C416" t="s">
        <v>426</v>
      </c>
      <c r="D416" t="s">
        <v>140</v>
      </c>
      <c r="E416" t="s">
        <v>14</v>
      </c>
      <c r="F416" s="3">
        <v>298000</v>
      </c>
      <c r="G416" s="1">
        <v>0.2</v>
      </c>
      <c r="H416" s="3">
        <f t="shared" si="9"/>
        <v>238400</v>
      </c>
    </row>
    <row r="417" spans="1:8" x14ac:dyDescent="0.35">
      <c r="A417">
        <v>737804</v>
      </c>
      <c r="B417" t="s">
        <v>433</v>
      </c>
      <c r="C417" t="s">
        <v>426</v>
      </c>
      <c r="D417" t="s">
        <v>140</v>
      </c>
      <c r="E417" t="s">
        <v>14</v>
      </c>
      <c r="F417" s="3">
        <v>298000</v>
      </c>
      <c r="G417" s="1">
        <v>0.2</v>
      </c>
      <c r="H417" s="3">
        <f t="shared" si="9"/>
        <v>238400</v>
      </c>
    </row>
    <row r="418" spans="1:8" x14ac:dyDescent="0.35">
      <c r="A418">
        <v>730671</v>
      </c>
      <c r="B418" t="s">
        <v>860</v>
      </c>
      <c r="C418" t="s">
        <v>368</v>
      </c>
      <c r="D418" t="s">
        <v>140</v>
      </c>
      <c r="E418" t="s">
        <v>14</v>
      </c>
      <c r="F418" s="3">
        <v>578000</v>
      </c>
      <c r="G418" s="1">
        <v>0.5</v>
      </c>
      <c r="H418" s="3">
        <f t="shared" si="9"/>
        <v>289000</v>
      </c>
    </row>
    <row r="419" spans="1:8" x14ac:dyDescent="0.35">
      <c r="A419">
        <v>726437</v>
      </c>
      <c r="B419" t="s">
        <v>141</v>
      </c>
      <c r="C419" t="s">
        <v>97</v>
      </c>
      <c r="D419" t="s">
        <v>140</v>
      </c>
      <c r="E419" t="s">
        <v>14</v>
      </c>
      <c r="F419" s="3">
        <v>898000</v>
      </c>
      <c r="G419" s="1">
        <v>0.2</v>
      </c>
      <c r="H419" s="3">
        <f t="shared" si="9"/>
        <v>718400</v>
      </c>
    </row>
    <row r="420" spans="1:8" x14ac:dyDescent="0.35">
      <c r="A420">
        <v>730486</v>
      </c>
      <c r="B420" t="s">
        <v>470</v>
      </c>
      <c r="C420" t="s">
        <v>97</v>
      </c>
      <c r="D420" t="s">
        <v>140</v>
      </c>
      <c r="F420" s="3">
        <v>4898000</v>
      </c>
      <c r="G420" s="1">
        <v>0.2</v>
      </c>
      <c r="H420" s="3">
        <f t="shared" si="9"/>
        <v>3918400</v>
      </c>
    </row>
    <row r="421" spans="1:8" x14ac:dyDescent="0.35">
      <c r="A421">
        <v>730487</v>
      </c>
      <c r="B421" t="s">
        <v>471</v>
      </c>
      <c r="C421" t="s">
        <v>97</v>
      </c>
      <c r="D421" t="s">
        <v>140</v>
      </c>
      <c r="E421" t="s">
        <v>14</v>
      </c>
      <c r="F421" s="3">
        <v>5698000</v>
      </c>
      <c r="G421" s="1">
        <v>0.2</v>
      </c>
      <c r="H421" s="3">
        <f t="shared" si="9"/>
        <v>4558400</v>
      </c>
    </row>
    <row r="422" spans="1:8" x14ac:dyDescent="0.35">
      <c r="A422">
        <v>730488</v>
      </c>
      <c r="B422" t="s">
        <v>861</v>
      </c>
      <c r="C422" t="s">
        <v>97</v>
      </c>
      <c r="D422" t="s">
        <v>140</v>
      </c>
      <c r="E422" t="s">
        <v>14</v>
      </c>
      <c r="F422" s="3">
        <v>4498000</v>
      </c>
      <c r="G422" s="1">
        <v>0.2</v>
      </c>
      <c r="H422" s="3">
        <f t="shared" si="9"/>
        <v>3598400</v>
      </c>
    </row>
    <row r="423" spans="1:8" x14ac:dyDescent="0.35">
      <c r="A423">
        <v>731422</v>
      </c>
      <c r="B423" t="s">
        <v>472</v>
      </c>
      <c r="C423" t="s">
        <v>97</v>
      </c>
      <c r="D423" t="s">
        <v>140</v>
      </c>
      <c r="E423" t="s">
        <v>14</v>
      </c>
      <c r="F423" s="3">
        <v>2998000</v>
      </c>
      <c r="G423" s="1">
        <v>0.2</v>
      </c>
      <c r="H423" s="3">
        <f t="shared" si="9"/>
        <v>2398400</v>
      </c>
    </row>
    <row r="424" spans="1:8" x14ac:dyDescent="0.35">
      <c r="A424">
        <v>731664</v>
      </c>
      <c r="B424" t="s">
        <v>139</v>
      </c>
      <c r="C424" t="s">
        <v>97</v>
      </c>
      <c r="D424" t="s">
        <v>140</v>
      </c>
      <c r="E424" t="s">
        <v>14</v>
      </c>
      <c r="F424" s="3">
        <v>798000</v>
      </c>
      <c r="G424" s="1">
        <v>0.2</v>
      </c>
      <c r="H424" s="3">
        <f t="shared" si="9"/>
        <v>638400</v>
      </c>
    </row>
    <row r="425" spans="1:8" x14ac:dyDescent="0.35">
      <c r="A425">
        <v>733146</v>
      </c>
      <c r="B425" t="s">
        <v>142</v>
      </c>
      <c r="C425" t="s">
        <v>97</v>
      </c>
      <c r="D425" t="s">
        <v>140</v>
      </c>
      <c r="F425" s="3">
        <v>4898000</v>
      </c>
      <c r="G425" s="1">
        <v>0.2</v>
      </c>
      <c r="H425" s="3">
        <f t="shared" ref="H425:H466" si="10">F425*(1-G425)</f>
        <v>3918400</v>
      </c>
    </row>
    <row r="426" spans="1:8" x14ac:dyDescent="0.35">
      <c r="A426">
        <v>733147</v>
      </c>
      <c r="B426" t="s">
        <v>143</v>
      </c>
      <c r="C426" t="s">
        <v>97</v>
      </c>
      <c r="D426" t="s">
        <v>140</v>
      </c>
      <c r="F426" s="3">
        <v>4898000</v>
      </c>
      <c r="G426" s="1">
        <v>0.2</v>
      </c>
      <c r="H426" s="3">
        <f t="shared" si="10"/>
        <v>3918400</v>
      </c>
    </row>
    <row r="427" spans="1:8" x14ac:dyDescent="0.35">
      <c r="A427">
        <v>733837</v>
      </c>
      <c r="B427" t="s">
        <v>473</v>
      </c>
      <c r="C427" t="s">
        <v>97</v>
      </c>
      <c r="D427" t="s">
        <v>140</v>
      </c>
      <c r="E427" t="s">
        <v>14</v>
      </c>
      <c r="F427" s="3">
        <v>3198000</v>
      </c>
      <c r="G427" s="1">
        <v>0.2</v>
      </c>
      <c r="H427" s="3">
        <f t="shared" si="10"/>
        <v>2558400</v>
      </c>
    </row>
    <row r="428" spans="1:8" x14ac:dyDescent="0.35">
      <c r="A428">
        <v>735291</v>
      </c>
      <c r="B428" t="s">
        <v>862</v>
      </c>
      <c r="C428" t="s">
        <v>97</v>
      </c>
      <c r="D428" t="s">
        <v>140</v>
      </c>
      <c r="E428" t="s">
        <v>14</v>
      </c>
      <c r="F428" s="3">
        <v>4698000</v>
      </c>
      <c r="G428" s="1">
        <v>0.2</v>
      </c>
      <c r="H428" s="3">
        <f t="shared" si="10"/>
        <v>3758400</v>
      </c>
    </row>
    <row r="429" spans="1:8" x14ac:dyDescent="0.35">
      <c r="A429">
        <v>735293</v>
      </c>
      <c r="B429" t="s">
        <v>144</v>
      </c>
      <c r="C429" t="s">
        <v>97</v>
      </c>
      <c r="D429" t="s">
        <v>140</v>
      </c>
      <c r="E429" t="s">
        <v>14</v>
      </c>
      <c r="F429" s="3">
        <v>4698000</v>
      </c>
      <c r="G429" s="1">
        <v>0.2</v>
      </c>
      <c r="H429" s="3">
        <f t="shared" si="10"/>
        <v>3758400</v>
      </c>
    </row>
    <row r="430" spans="1:8" x14ac:dyDescent="0.35">
      <c r="A430">
        <v>723943</v>
      </c>
      <c r="B430" t="s">
        <v>863</v>
      </c>
      <c r="C430" t="s">
        <v>449</v>
      </c>
      <c r="D430" t="s">
        <v>140</v>
      </c>
      <c r="E430" t="s">
        <v>14</v>
      </c>
      <c r="F430" s="3">
        <v>2298000</v>
      </c>
      <c r="G430" s="1">
        <v>0.2</v>
      </c>
      <c r="H430" s="3">
        <f t="shared" si="10"/>
        <v>1838400</v>
      </c>
    </row>
    <row r="431" spans="1:8" x14ac:dyDescent="0.35">
      <c r="A431">
        <v>730758</v>
      </c>
      <c r="B431" t="s">
        <v>474</v>
      </c>
      <c r="C431" t="s">
        <v>449</v>
      </c>
      <c r="D431" t="s">
        <v>140</v>
      </c>
      <c r="E431" t="s">
        <v>14</v>
      </c>
      <c r="F431" s="3">
        <v>928000</v>
      </c>
      <c r="G431" s="1">
        <v>0.2</v>
      </c>
      <c r="H431" s="3">
        <f t="shared" si="10"/>
        <v>742400</v>
      </c>
    </row>
    <row r="432" spans="1:8" x14ac:dyDescent="0.35">
      <c r="A432">
        <v>730759</v>
      </c>
      <c r="B432" t="s">
        <v>475</v>
      </c>
      <c r="C432" t="s">
        <v>449</v>
      </c>
      <c r="D432" t="s">
        <v>140</v>
      </c>
      <c r="E432" t="s">
        <v>14</v>
      </c>
      <c r="F432" s="3">
        <v>928000</v>
      </c>
      <c r="G432" s="1">
        <v>0.2</v>
      </c>
      <c r="H432" s="3">
        <f t="shared" si="10"/>
        <v>742400</v>
      </c>
    </row>
    <row r="433" spans="1:8" x14ac:dyDescent="0.35">
      <c r="A433">
        <v>730760</v>
      </c>
      <c r="B433" t="s">
        <v>864</v>
      </c>
      <c r="C433" t="s">
        <v>449</v>
      </c>
      <c r="D433" t="s">
        <v>140</v>
      </c>
      <c r="E433" t="s">
        <v>14</v>
      </c>
      <c r="F433" s="3">
        <v>928000</v>
      </c>
      <c r="G433" s="1">
        <v>0.2</v>
      </c>
      <c r="H433" s="3">
        <f t="shared" si="10"/>
        <v>742400</v>
      </c>
    </row>
    <row r="434" spans="1:8" x14ac:dyDescent="0.35">
      <c r="A434">
        <v>730761</v>
      </c>
      <c r="B434" t="s">
        <v>865</v>
      </c>
      <c r="C434" t="s">
        <v>449</v>
      </c>
      <c r="D434" t="s">
        <v>140</v>
      </c>
      <c r="E434" t="s">
        <v>14</v>
      </c>
      <c r="F434" s="3">
        <v>928000</v>
      </c>
      <c r="G434" s="1">
        <v>0.2</v>
      </c>
      <c r="H434" s="3">
        <f t="shared" si="10"/>
        <v>742400</v>
      </c>
    </row>
    <row r="435" spans="1:8" x14ac:dyDescent="0.35">
      <c r="A435">
        <v>731579</v>
      </c>
      <c r="B435" t="s">
        <v>866</v>
      </c>
      <c r="C435" t="s">
        <v>449</v>
      </c>
      <c r="D435" t="s">
        <v>140</v>
      </c>
      <c r="E435" t="s">
        <v>14</v>
      </c>
      <c r="F435" s="3">
        <v>2198000</v>
      </c>
      <c r="G435" s="1">
        <v>0.2</v>
      </c>
      <c r="H435" s="3">
        <f t="shared" si="10"/>
        <v>1758400</v>
      </c>
    </row>
    <row r="436" spans="1:8" x14ac:dyDescent="0.35">
      <c r="A436">
        <v>731580</v>
      </c>
      <c r="B436" t="s">
        <v>867</v>
      </c>
      <c r="C436" t="s">
        <v>449</v>
      </c>
      <c r="D436" t="s">
        <v>140</v>
      </c>
      <c r="E436" t="s">
        <v>14</v>
      </c>
      <c r="F436" s="3">
        <v>2398000</v>
      </c>
      <c r="G436" s="1">
        <v>0.2</v>
      </c>
      <c r="H436" s="3">
        <f t="shared" si="10"/>
        <v>1918400</v>
      </c>
    </row>
    <row r="437" spans="1:8" x14ac:dyDescent="0.35">
      <c r="A437">
        <v>731586</v>
      </c>
      <c r="B437" t="s">
        <v>868</v>
      </c>
      <c r="C437" t="s">
        <v>449</v>
      </c>
      <c r="D437" t="s">
        <v>140</v>
      </c>
      <c r="E437" t="s">
        <v>14</v>
      </c>
      <c r="F437" s="3">
        <v>1198000</v>
      </c>
      <c r="G437" s="1">
        <v>0.2</v>
      </c>
      <c r="H437" s="3">
        <f t="shared" si="10"/>
        <v>958400</v>
      </c>
    </row>
    <row r="438" spans="1:8" x14ac:dyDescent="0.35">
      <c r="A438">
        <v>731587</v>
      </c>
      <c r="B438" t="s">
        <v>869</v>
      </c>
      <c r="C438" t="s">
        <v>449</v>
      </c>
      <c r="D438" t="s">
        <v>140</v>
      </c>
      <c r="E438" t="s">
        <v>14</v>
      </c>
      <c r="F438" s="3">
        <v>1198000</v>
      </c>
      <c r="G438" s="1">
        <v>0.2</v>
      </c>
      <c r="H438" s="3">
        <f t="shared" si="10"/>
        <v>958400</v>
      </c>
    </row>
    <row r="439" spans="1:8" x14ac:dyDescent="0.35">
      <c r="A439">
        <v>731588</v>
      </c>
      <c r="B439" t="s">
        <v>870</v>
      </c>
      <c r="C439" t="s">
        <v>449</v>
      </c>
      <c r="D439" t="s">
        <v>140</v>
      </c>
      <c r="E439" t="s">
        <v>14</v>
      </c>
      <c r="F439" s="3">
        <v>1198000</v>
      </c>
      <c r="G439" s="1">
        <v>0.2</v>
      </c>
      <c r="H439" s="3">
        <f t="shared" si="10"/>
        <v>958400</v>
      </c>
    </row>
    <row r="440" spans="1:8" x14ac:dyDescent="0.35">
      <c r="A440">
        <v>733301</v>
      </c>
      <c r="B440" t="s">
        <v>871</v>
      </c>
      <c r="C440" t="s">
        <v>449</v>
      </c>
      <c r="D440" t="s">
        <v>140</v>
      </c>
      <c r="E440" t="s">
        <v>14</v>
      </c>
      <c r="F440" s="3">
        <v>1248000</v>
      </c>
      <c r="G440" s="1">
        <v>0.2</v>
      </c>
      <c r="H440" s="3">
        <f t="shared" si="10"/>
        <v>998400</v>
      </c>
    </row>
    <row r="441" spans="1:8" x14ac:dyDescent="0.35">
      <c r="A441">
        <v>733984</v>
      </c>
      <c r="B441" t="s">
        <v>872</v>
      </c>
      <c r="C441" t="s">
        <v>449</v>
      </c>
      <c r="D441" t="s">
        <v>140</v>
      </c>
      <c r="E441" t="s">
        <v>14</v>
      </c>
      <c r="F441" s="3">
        <v>3698000</v>
      </c>
      <c r="G441" s="1">
        <v>0.2</v>
      </c>
      <c r="H441" s="3">
        <f t="shared" si="10"/>
        <v>2958400</v>
      </c>
    </row>
    <row r="442" spans="1:8" x14ac:dyDescent="0.35">
      <c r="A442">
        <v>733985</v>
      </c>
      <c r="B442" t="s">
        <v>873</v>
      </c>
      <c r="C442" t="s">
        <v>449</v>
      </c>
      <c r="D442" t="s">
        <v>140</v>
      </c>
      <c r="E442" t="s">
        <v>14</v>
      </c>
      <c r="F442" s="3">
        <v>3698000</v>
      </c>
      <c r="G442" s="1">
        <v>0.2</v>
      </c>
      <c r="H442" s="3">
        <f t="shared" si="10"/>
        <v>2958400</v>
      </c>
    </row>
    <row r="443" spans="1:8" x14ac:dyDescent="0.35">
      <c r="A443">
        <v>733986</v>
      </c>
      <c r="B443" t="s">
        <v>874</v>
      </c>
      <c r="C443" t="s">
        <v>449</v>
      </c>
      <c r="D443" t="s">
        <v>140</v>
      </c>
      <c r="E443" t="s">
        <v>14</v>
      </c>
      <c r="F443" s="3">
        <v>3698000</v>
      </c>
      <c r="G443" s="1">
        <v>0.2</v>
      </c>
      <c r="H443" s="3">
        <f t="shared" si="10"/>
        <v>2958400</v>
      </c>
    </row>
    <row r="444" spans="1:8" x14ac:dyDescent="0.35">
      <c r="A444">
        <v>733988</v>
      </c>
      <c r="B444" t="s">
        <v>480</v>
      </c>
      <c r="C444" t="s">
        <v>449</v>
      </c>
      <c r="D444" t="s">
        <v>140</v>
      </c>
      <c r="E444" t="s">
        <v>14</v>
      </c>
      <c r="F444" s="3">
        <v>3698000</v>
      </c>
      <c r="G444" s="1">
        <v>0.2</v>
      </c>
      <c r="H444" s="3">
        <f t="shared" si="10"/>
        <v>2958400</v>
      </c>
    </row>
    <row r="445" spans="1:8" x14ac:dyDescent="0.35">
      <c r="A445">
        <v>733989</v>
      </c>
      <c r="B445" t="s">
        <v>481</v>
      </c>
      <c r="C445" t="s">
        <v>449</v>
      </c>
      <c r="D445" t="s">
        <v>140</v>
      </c>
      <c r="E445" t="s">
        <v>14</v>
      </c>
      <c r="F445" s="3">
        <v>3698000</v>
      </c>
      <c r="G445" s="1">
        <v>0.2</v>
      </c>
      <c r="H445" s="3">
        <f t="shared" si="10"/>
        <v>2958400</v>
      </c>
    </row>
    <row r="446" spans="1:8" x14ac:dyDescent="0.35">
      <c r="A446">
        <v>727802</v>
      </c>
      <c r="B446" t="s">
        <v>875</v>
      </c>
      <c r="C446" t="s">
        <v>820</v>
      </c>
      <c r="D446" t="s">
        <v>140</v>
      </c>
      <c r="E446" t="s">
        <v>14</v>
      </c>
      <c r="F446" s="3">
        <v>1298000</v>
      </c>
      <c r="G446" s="1">
        <v>0.5</v>
      </c>
      <c r="H446" s="3">
        <f t="shared" si="10"/>
        <v>649000</v>
      </c>
    </row>
    <row r="447" spans="1:8" x14ac:dyDescent="0.35">
      <c r="A447">
        <v>727804</v>
      </c>
      <c r="B447" t="s">
        <v>876</v>
      </c>
      <c r="C447" t="s">
        <v>820</v>
      </c>
      <c r="D447" t="s">
        <v>140</v>
      </c>
      <c r="E447" t="s">
        <v>14</v>
      </c>
      <c r="F447" s="3">
        <v>898000</v>
      </c>
      <c r="G447" s="1">
        <v>0.5</v>
      </c>
      <c r="H447" s="3">
        <f t="shared" si="10"/>
        <v>449000</v>
      </c>
    </row>
    <row r="448" spans="1:8" x14ac:dyDescent="0.35">
      <c r="A448">
        <v>727805</v>
      </c>
      <c r="B448" t="s">
        <v>877</v>
      </c>
      <c r="C448" t="s">
        <v>820</v>
      </c>
      <c r="D448" t="s">
        <v>140</v>
      </c>
      <c r="E448" t="s">
        <v>14</v>
      </c>
      <c r="F448" s="3">
        <v>898000</v>
      </c>
      <c r="G448" s="1">
        <v>0.5</v>
      </c>
      <c r="H448" s="3">
        <f t="shared" si="10"/>
        <v>449000</v>
      </c>
    </row>
    <row r="449" spans="1:8" x14ac:dyDescent="0.35">
      <c r="A449">
        <v>727807</v>
      </c>
      <c r="B449" t="s">
        <v>878</v>
      </c>
      <c r="C449" t="s">
        <v>820</v>
      </c>
      <c r="D449" t="s">
        <v>140</v>
      </c>
      <c r="E449" t="s">
        <v>14</v>
      </c>
      <c r="F449" s="3">
        <v>898000</v>
      </c>
      <c r="G449" s="1">
        <v>0.5</v>
      </c>
      <c r="H449" s="3">
        <f t="shared" si="10"/>
        <v>449000</v>
      </c>
    </row>
    <row r="450" spans="1:8" x14ac:dyDescent="0.35">
      <c r="A450">
        <v>729353</v>
      </c>
      <c r="B450" t="s">
        <v>879</v>
      </c>
      <c r="C450" t="s">
        <v>820</v>
      </c>
      <c r="D450" t="s">
        <v>140</v>
      </c>
      <c r="E450" t="s">
        <v>14</v>
      </c>
      <c r="F450" s="3">
        <v>1148000</v>
      </c>
      <c r="G450" s="1">
        <v>0.5</v>
      </c>
      <c r="H450" s="3">
        <f t="shared" si="10"/>
        <v>574000</v>
      </c>
    </row>
    <row r="451" spans="1:8" x14ac:dyDescent="0.35">
      <c r="A451">
        <v>729355</v>
      </c>
      <c r="B451" t="s">
        <v>880</v>
      </c>
      <c r="C451" t="s">
        <v>820</v>
      </c>
      <c r="D451" t="s">
        <v>140</v>
      </c>
      <c r="E451" t="s">
        <v>14</v>
      </c>
      <c r="F451" s="3">
        <v>1148000</v>
      </c>
      <c r="G451" s="1">
        <v>0.5</v>
      </c>
      <c r="H451" s="3">
        <f t="shared" si="10"/>
        <v>574000</v>
      </c>
    </row>
    <row r="452" spans="1:8" x14ac:dyDescent="0.35">
      <c r="A452">
        <v>729363</v>
      </c>
      <c r="B452" t="s">
        <v>881</v>
      </c>
      <c r="C452" t="s">
        <v>820</v>
      </c>
      <c r="D452" t="s">
        <v>140</v>
      </c>
      <c r="E452" t="s">
        <v>14</v>
      </c>
      <c r="F452" s="3">
        <v>1148000</v>
      </c>
      <c r="G452" s="1">
        <v>0.7</v>
      </c>
      <c r="H452" s="3">
        <f t="shared" si="10"/>
        <v>344400.00000000006</v>
      </c>
    </row>
    <row r="453" spans="1:8" x14ac:dyDescent="0.35">
      <c r="A453">
        <v>734747</v>
      </c>
      <c r="B453" t="s">
        <v>882</v>
      </c>
      <c r="C453" t="s">
        <v>820</v>
      </c>
      <c r="D453" t="s">
        <v>140</v>
      </c>
      <c r="E453" t="s">
        <v>14</v>
      </c>
      <c r="F453" s="3">
        <v>1148000</v>
      </c>
      <c r="G453" s="1">
        <v>0.5</v>
      </c>
      <c r="H453" s="3">
        <f t="shared" si="10"/>
        <v>574000</v>
      </c>
    </row>
    <row r="454" spans="1:8" x14ac:dyDescent="0.35">
      <c r="A454">
        <v>734750</v>
      </c>
      <c r="B454" t="s">
        <v>883</v>
      </c>
      <c r="C454" t="s">
        <v>820</v>
      </c>
      <c r="D454" t="s">
        <v>140</v>
      </c>
      <c r="E454" t="s">
        <v>14</v>
      </c>
      <c r="F454" s="3">
        <v>1148000</v>
      </c>
      <c r="G454" s="1">
        <v>0.5</v>
      </c>
      <c r="H454" s="3">
        <f t="shared" si="10"/>
        <v>574000</v>
      </c>
    </row>
    <row r="455" spans="1:8" x14ac:dyDescent="0.35">
      <c r="A455">
        <v>734755</v>
      </c>
      <c r="B455" t="s">
        <v>884</v>
      </c>
      <c r="C455" t="s">
        <v>820</v>
      </c>
      <c r="D455" t="s">
        <v>140</v>
      </c>
      <c r="E455" t="s">
        <v>14</v>
      </c>
      <c r="F455" s="3">
        <v>1148000</v>
      </c>
      <c r="G455" s="1">
        <v>0.5</v>
      </c>
      <c r="H455" s="3">
        <f t="shared" si="10"/>
        <v>574000</v>
      </c>
    </row>
    <row r="456" spans="1:8" x14ac:dyDescent="0.35">
      <c r="A456">
        <v>734761</v>
      </c>
      <c r="B456" t="s">
        <v>885</v>
      </c>
      <c r="C456" t="s">
        <v>820</v>
      </c>
      <c r="D456" t="s">
        <v>140</v>
      </c>
      <c r="E456" t="s">
        <v>14</v>
      </c>
      <c r="F456" s="3">
        <v>1148000</v>
      </c>
      <c r="G456" s="1">
        <v>0.5</v>
      </c>
      <c r="H456" s="3">
        <f t="shared" si="10"/>
        <v>574000</v>
      </c>
    </row>
    <row r="457" spans="1:8" x14ac:dyDescent="0.35">
      <c r="A457">
        <v>734764</v>
      </c>
      <c r="B457" t="s">
        <v>886</v>
      </c>
      <c r="C457" t="s">
        <v>820</v>
      </c>
      <c r="D457" t="s">
        <v>140</v>
      </c>
      <c r="E457" t="s">
        <v>14</v>
      </c>
      <c r="F457" s="3">
        <v>1148000</v>
      </c>
      <c r="G457" s="1">
        <v>0.5</v>
      </c>
      <c r="H457" s="3">
        <f t="shared" si="10"/>
        <v>574000</v>
      </c>
    </row>
    <row r="458" spans="1:8" x14ac:dyDescent="0.35">
      <c r="A458">
        <v>734775</v>
      </c>
      <c r="B458" t="s">
        <v>887</v>
      </c>
      <c r="C458" t="s">
        <v>820</v>
      </c>
      <c r="D458" t="s">
        <v>140</v>
      </c>
      <c r="E458" t="s">
        <v>14</v>
      </c>
      <c r="F458" s="3">
        <v>898000</v>
      </c>
      <c r="G458" s="1">
        <v>0.5</v>
      </c>
      <c r="H458" s="3">
        <f t="shared" si="10"/>
        <v>449000</v>
      </c>
    </row>
    <row r="459" spans="1:8" x14ac:dyDescent="0.35">
      <c r="A459">
        <v>734780</v>
      </c>
      <c r="B459" t="s">
        <v>888</v>
      </c>
      <c r="C459" t="s">
        <v>820</v>
      </c>
      <c r="D459" t="s">
        <v>140</v>
      </c>
      <c r="E459" t="s">
        <v>14</v>
      </c>
      <c r="F459" s="3">
        <v>898000</v>
      </c>
      <c r="G459" s="1">
        <v>0.5</v>
      </c>
      <c r="H459" s="3">
        <f t="shared" si="10"/>
        <v>449000</v>
      </c>
    </row>
    <row r="460" spans="1:8" x14ac:dyDescent="0.35">
      <c r="A460">
        <v>734781</v>
      </c>
      <c r="B460" t="s">
        <v>889</v>
      </c>
      <c r="C460" t="s">
        <v>820</v>
      </c>
      <c r="D460" t="s">
        <v>140</v>
      </c>
      <c r="E460" t="s">
        <v>14</v>
      </c>
      <c r="F460" s="3">
        <v>898000</v>
      </c>
      <c r="G460" s="1">
        <v>0.5</v>
      </c>
      <c r="H460" s="3">
        <f t="shared" si="10"/>
        <v>449000</v>
      </c>
    </row>
    <row r="461" spans="1:8" x14ac:dyDescent="0.35">
      <c r="A461">
        <v>734786</v>
      </c>
      <c r="B461" t="s">
        <v>890</v>
      </c>
      <c r="C461" t="s">
        <v>820</v>
      </c>
      <c r="D461" t="s">
        <v>140</v>
      </c>
      <c r="E461" t="s">
        <v>14</v>
      </c>
      <c r="F461" s="3">
        <v>428000</v>
      </c>
      <c r="G461" s="1">
        <v>0.5</v>
      </c>
      <c r="H461" s="3">
        <f t="shared" si="10"/>
        <v>214000</v>
      </c>
    </row>
    <row r="462" spans="1:8" x14ac:dyDescent="0.35">
      <c r="A462">
        <v>734789</v>
      </c>
      <c r="B462" t="s">
        <v>891</v>
      </c>
      <c r="C462" t="s">
        <v>820</v>
      </c>
      <c r="D462" t="s">
        <v>140</v>
      </c>
      <c r="E462" t="s">
        <v>14</v>
      </c>
      <c r="F462" s="3">
        <v>698000</v>
      </c>
      <c r="G462" s="1">
        <v>0.5</v>
      </c>
      <c r="H462" s="3">
        <f t="shared" si="10"/>
        <v>349000</v>
      </c>
    </row>
    <row r="463" spans="1:8" x14ac:dyDescent="0.35">
      <c r="A463">
        <v>734790</v>
      </c>
      <c r="B463" t="s">
        <v>892</v>
      </c>
      <c r="C463" t="s">
        <v>820</v>
      </c>
      <c r="D463" t="s">
        <v>140</v>
      </c>
      <c r="E463" t="s">
        <v>14</v>
      </c>
      <c r="F463" s="3">
        <v>628000</v>
      </c>
      <c r="G463" s="1">
        <v>0.5</v>
      </c>
      <c r="H463" s="3">
        <f t="shared" si="10"/>
        <v>314000</v>
      </c>
    </row>
    <row r="464" spans="1:8" x14ac:dyDescent="0.35">
      <c r="A464">
        <v>734801</v>
      </c>
      <c r="B464" t="s">
        <v>893</v>
      </c>
      <c r="C464" t="s">
        <v>820</v>
      </c>
      <c r="D464" t="s">
        <v>140</v>
      </c>
      <c r="E464" t="s">
        <v>14</v>
      </c>
      <c r="F464" s="3">
        <v>798000</v>
      </c>
      <c r="G464" s="1">
        <v>0.5</v>
      </c>
      <c r="H464" s="3">
        <f t="shared" si="10"/>
        <v>399000</v>
      </c>
    </row>
    <row r="465" spans="1:8" x14ac:dyDescent="0.35">
      <c r="A465">
        <v>734804</v>
      </c>
      <c r="B465" t="s">
        <v>894</v>
      </c>
      <c r="C465" t="s">
        <v>820</v>
      </c>
      <c r="D465" t="s">
        <v>140</v>
      </c>
      <c r="E465" t="s">
        <v>14</v>
      </c>
      <c r="F465" s="3">
        <v>798000</v>
      </c>
      <c r="G465" s="1">
        <v>0.5</v>
      </c>
      <c r="H465" s="3">
        <f t="shared" si="10"/>
        <v>399000</v>
      </c>
    </row>
    <row r="466" spans="1:8" x14ac:dyDescent="0.35">
      <c r="A466">
        <v>734805</v>
      </c>
      <c r="B466" t="s">
        <v>895</v>
      </c>
      <c r="C466" t="s">
        <v>820</v>
      </c>
      <c r="D466" t="s">
        <v>140</v>
      </c>
      <c r="E466" t="s">
        <v>14</v>
      </c>
      <c r="F466" s="3">
        <v>798000</v>
      </c>
      <c r="G466" s="1">
        <v>0.5</v>
      </c>
      <c r="H466" s="3">
        <f t="shared" si="10"/>
        <v>399000</v>
      </c>
    </row>
    <row r="467" spans="1:8" x14ac:dyDescent="0.35">
      <c r="A467">
        <v>702575</v>
      </c>
      <c r="B467" t="s">
        <v>896</v>
      </c>
      <c r="C467" t="s">
        <v>897</v>
      </c>
      <c r="D467" t="s">
        <v>898</v>
      </c>
      <c r="E467" t="s">
        <v>14</v>
      </c>
      <c r="F467" s="3">
        <v>19000</v>
      </c>
      <c r="G467" s="3">
        <v>14000</v>
      </c>
      <c r="H467" s="4">
        <f>G467</f>
        <v>14000</v>
      </c>
    </row>
    <row r="468" spans="1:8" x14ac:dyDescent="0.35">
      <c r="A468">
        <v>702576</v>
      </c>
      <c r="B468" t="s">
        <v>899</v>
      </c>
      <c r="C468" t="s">
        <v>897</v>
      </c>
      <c r="D468" t="s">
        <v>898</v>
      </c>
      <c r="E468" t="s">
        <v>14</v>
      </c>
      <c r="F468" s="3">
        <v>24000</v>
      </c>
      <c r="G468" s="3">
        <v>19000</v>
      </c>
      <c r="H468" s="4">
        <f>G468</f>
        <v>19000</v>
      </c>
    </row>
    <row r="469" spans="1:8" x14ac:dyDescent="0.35">
      <c r="A469">
        <v>702577</v>
      </c>
      <c r="B469" t="s">
        <v>900</v>
      </c>
      <c r="C469" t="s">
        <v>897</v>
      </c>
      <c r="D469" t="s">
        <v>898</v>
      </c>
      <c r="E469" t="s">
        <v>14</v>
      </c>
      <c r="F469" s="3">
        <v>128000</v>
      </c>
      <c r="G469" s="3">
        <v>118000</v>
      </c>
      <c r="H469" s="4">
        <f>G469</f>
        <v>118000</v>
      </c>
    </row>
    <row r="470" spans="1:8" x14ac:dyDescent="0.35">
      <c r="A470">
        <v>703596</v>
      </c>
      <c r="B470" t="s">
        <v>901</v>
      </c>
      <c r="C470" t="s">
        <v>426</v>
      </c>
      <c r="D470" t="s">
        <v>898</v>
      </c>
      <c r="E470" t="s">
        <v>14</v>
      </c>
      <c r="F470" s="3">
        <v>4000</v>
      </c>
      <c r="G470" s="1">
        <v>0.5</v>
      </c>
      <c r="H470" s="3">
        <f t="shared" ref="H470:H533" si="11">F470*(1-G470)</f>
        <v>2000</v>
      </c>
    </row>
    <row r="471" spans="1:8" x14ac:dyDescent="0.35">
      <c r="A471">
        <v>703653</v>
      </c>
      <c r="B471" t="s">
        <v>902</v>
      </c>
      <c r="C471" t="s">
        <v>426</v>
      </c>
      <c r="D471" t="s">
        <v>898</v>
      </c>
      <c r="E471" t="s">
        <v>14</v>
      </c>
      <c r="F471" s="3">
        <v>4000</v>
      </c>
      <c r="G471" s="1">
        <v>0.5</v>
      </c>
      <c r="H471" s="3">
        <f t="shared" si="11"/>
        <v>2000</v>
      </c>
    </row>
    <row r="472" spans="1:8" x14ac:dyDescent="0.35">
      <c r="A472">
        <v>719324</v>
      </c>
      <c r="B472" t="s">
        <v>903</v>
      </c>
      <c r="C472" t="s">
        <v>449</v>
      </c>
      <c r="D472" t="s">
        <v>898</v>
      </c>
      <c r="E472" t="s">
        <v>14</v>
      </c>
      <c r="F472" s="3">
        <v>398000</v>
      </c>
      <c r="G472" s="1">
        <v>0.7</v>
      </c>
      <c r="H472" s="3">
        <f t="shared" si="11"/>
        <v>119400.00000000001</v>
      </c>
    </row>
    <row r="473" spans="1:8" x14ac:dyDescent="0.35">
      <c r="A473">
        <v>723179</v>
      </c>
      <c r="B473" t="s">
        <v>904</v>
      </c>
      <c r="C473" t="s">
        <v>449</v>
      </c>
      <c r="D473" t="s">
        <v>898</v>
      </c>
      <c r="E473" t="s">
        <v>14</v>
      </c>
      <c r="F473" s="3">
        <v>498000</v>
      </c>
      <c r="G473" s="1">
        <v>0.7</v>
      </c>
      <c r="H473" s="3">
        <f t="shared" si="11"/>
        <v>149400.00000000003</v>
      </c>
    </row>
    <row r="474" spans="1:8" x14ac:dyDescent="0.35">
      <c r="A474">
        <v>723180</v>
      </c>
      <c r="B474" t="s">
        <v>905</v>
      </c>
      <c r="C474" t="s">
        <v>449</v>
      </c>
      <c r="D474" t="s">
        <v>898</v>
      </c>
      <c r="E474" t="s">
        <v>14</v>
      </c>
      <c r="F474" s="3">
        <v>348000</v>
      </c>
      <c r="G474" s="1">
        <v>0.7</v>
      </c>
      <c r="H474" s="3">
        <f t="shared" si="11"/>
        <v>104400.00000000001</v>
      </c>
    </row>
    <row r="475" spans="1:8" x14ac:dyDescent="0.35">
      <c r="A475">
        <v>723185</v>
      </c>
      <c r="B475" t="s">
        <v>906</v>
      </c>
      <c r="C475" t="s">
        <v>449</v>
      </c>
      <c r="D475" t="s">
        <v>898</v>
      </c>
      <c r="E475" t="s">
        <v>14</v>
      </c>
      <c r="F475" s="3">
        <v>178000</v>
      </c>
      <c r="G475" s="1">
        <v>0.7</v>
      </c>
      <c r="H475" s="3">
        <f t="shared" si="11"/>
        <v>53400.000000000007</v>
      </c>
    </row>
    <row r="476" spans="1:8" x14ac:dyDescent="0.35">
      <c r="A476">
        <v>723186</v>
      </c>
      <c r="B476" t="s">
        <v>907</v>
      </c>
      <c r="C476" t="s">
        <v>449</v>
      </c>
      <c r="D476" t="s">
        <v>898</v>
      </c>
      <c r="E476" t="s">
        <v>14</v>
      </c>
      <c r="F476" s="3">
        <v>328000</v>
      </c>
      <c r="G476" s="1">
        <v>0.7</v>
      </c>
      <c r="H476" s="3">
        <f t="shared" si="11"/>
        <v>98400.000000000015</v>
      </c>
    </row>
    <row r="477" spans="1:8" x14ac:dyDescent="0.35">
      <c r="A477">
        <v>723188</v>
      </c>
      <c r="B477" t="s">
        <v>908</v>
      </c>
      <c r="C477" t="s">
        <v>449</v>
      </c>
      <c r="D477" t="s">
        <v>898</v>
      </c>
      <c r="E477" t="s">
        <v>14</v>
      </c>
      <c r="F477" s="3">
        <v>228000</v>
      </c>
      <c r="G477" s="1">
        <v>0.7</v>
      </c>
      <c r="H477" s="3">
        <f t="shared" si="11"/>
        <v>68400.000000000015</v>
      </c>
    </row>
    <row r="478" spans="1:8" x14ac:dyDescent="0.35">
      <c r="A478">
        <v>727152</v>
      </c>
      <c r="B478" t="s">
        <v>909</v>
      </c>
      <c r="C478" t="s">
        <v>449</v>
      </c>
      <c r="D478" t="s">
        <v>898</v>
      </c>
      <c r="E478" t="s">
        <v>14</v>
      </c>
      <c r="F478" s="3">
        <v>248000</v>
      </c>
      <c r="G478" s="1">
        <v>0.7</v>
      </c>
      <c r="H478" s="3">
        <f t="shared" si="11"/>
        <v>74400.000000000015</v>
      </c>
    </row>
    <row r="479" spans="1:8" x14ac:dyDescent="0.35">
      <c r="A479">
        <v>727153</v>
      </c>
      <c r="B479" t="s">
        <v>910</v>
      </c>
      <c r="C479" t="s">
        <v>449</v>
      </c>
      <c r="D479" t="s">
        <v>898</v>
      </c>
      <c r="E479" t="s">
        <v>14</v>
      </c>
      <c r="F479" s="3">
        <v>278000</v>
      </c>
      <c r="G479" s="1">
        <v>0.7</v>
      </c>
      <c r="H479" s="3">
        <f t="shared" si="11"/>
        <v>83400.000000000015</v>
      </c>
    </row>
    <row r="480" spans="1:8" x14ac:dyDescent="0.35">
      <c r="A480">
        <v>727163</v>
      </c>
      <c r="B480" t="s">
        <v>911</v>
      </c>
      <c r="C480" t="s">
        <v>449</v>
      </c>
      <c r="D480" t="s">
        <v>898</v>
      </c>
      <c r="E480" t="s">
        <v>14</v>
      </c>
      <c r="F480" s="3">
        <v>248000</v>
      </c>
      <c r="G480" s="1">
        <v>0.7</v>
      </c>
      <c r="H480" s="3">
        <f t="shared" si="11"/>
        <v>74400.000000000015</v>
      </c>
    </row>
    <row r="481" spans="1:8" x14ac:dyDescent="0.35">
      <c r="A481">
        <v>731170</v>
      </c>
      <c r="B481" t="s">
        <v>912</v>
      </c>
      <c r="C481" t="s">
        <v>820</v>
      </c>
      <c r="D481" t="s">
        <v>898</v>
      </c>
      <c r="E481" t="s">
        <v>14</v>
      </c>
      <c r="F481" s="3">
        <v>84000</v>
      </c>
      <c r="G481" s="1">
        <v>0.5</v>
      </c>
      <c r="H481" s="3">
        <f t="shared" si="11"/>
        <v>42000</v>
      </c>
    </row>
    <row r="482" spans="1:8" x14ac:dyDescent="0.35">
      <c r="A482">
        <v>734853</v>
      </c>
      <c r="B482" t="s">
        <v>913</v>
      </c>
      <c r="C482" t="s">
        <v>820</v>
      </c>
      <c r="D482" t="s">
        <v>898</v>
      </c>
      <c r="E482" t="s">
        <v>14</v>
      </c>
      <c r="F482" s="3">
        <v>84000</v>
      </c>
      <c r="G482" s="1">
        <v>0.5</v>
      </c>
      <c r="H482" s="3">
        <f t="shared" si="11"/>
        <v>42000</v>
      </c>
    </row>
    <row r="483" spans="1:8" x14ac:dyDescent="0.35">
      <c r="A483">
        <v>734856</v>
      </c>
      <c r="B483" t="s">
        <v>914</v>
      </c>
      <c r="C483" t="s">
        <v>820</v>
      </c>
      <c r="D483" t="s">
        <v>898</v>
      </c>
      <c r="E483" t="s">
        <v>14</v>
      </c>
      <c r="F483" s="3">
        <v>84000</v>
      </c>
      <c r="G483" s="1">
        <v>0.5</v>
      </c>
      <c r="H483" s="3">
        <f t="shared" si="11"/>
        <v>42000</v>
      </c>
    </row>
    <row r="484" spans="1:8" x14ac:dyDescent="0.35">
      <c r="A484">
        <v>734857</v>
      </c>
      <c r="B484" t="s">
        <v>915</v>
      </c>
      <c r="C484" t="s">
        <v>820</v>
      </c>
      <c r="D484" t="s">
        <v>898</v>
      </c>
      <c r="E484" t="s">
        <v>14</v>
      </c>
      <c r="F484" s="3">
        <v>84000</v>
      </c>
      <c r="G484" s="1">
        <v>0.5</v>
      </c>
      <c r="H484" s="3">
        <f t="shared" si="11"/>
        <v>42000</v>
      </c>
    </row>
    <row r="485" spans="1:8" x14ac:dyDescent="0.35">
      <c r="A485">
        <v>726874009</v>
      </c>
      <c r="B485" t="s">
        <v>916</v>
      </c>
      <c r="C485" t="s">
        <v>63</v>
      </c>
      <c r="D485" t="s">
        <v>64</v>
      </c>
      <c r="E485" t="s">
        <v>14</v>
      </c>
      <c r="F485" s="3">
        <v>2598000</v>
      </c>
      <c r="G485" s="1">
        <v>0.3</v>
      </c>
      <c r="H485" s="3">
        <f t="shared" si="11"/>
        <v>1818600</v>
      </c>
    </row>
    <row r="486" spans="1:8" x14ac:dyDescent="0.35">
      <c r="A486">
        <v>726874033</v>
      </c>
      <c r="B486" t="s">
        <v>917</v>
      </c>
      <c r="C486" t="s">
        <v>63</v>
      </c>
      <c r="D486" t="s">
        <v>64</v>
      </c>
      <c r="E486" t="s">
        <v>14</v>
      </c>
      <c r="F486" s="3">
        <v>2598000</v>
      </c>
      <c r="G486" s="1">
        <v>0.3</v>
      </c>
      <c r="H486" s="3">
        <f t="shared" si="11"/>
        <v>1818600</v>
      </c>
    </row>
    <row r="487" spans="1:8" x14ac:dyDescent="0.35">
      <c r="A487">
        <v>729835001</v>
      </c>
      <c r="B487" t="s">
        <v>62</v>
      </c>
      <c r="C487" t="s">
        <v>63</v>
      </c>
      <c r="D487" t="s">
        <v>64</v>
      </c>
      <c r="E487" t="s">
        <v>14</v>
      </c>
      <c r="F487" s="3">
        <v>3398000</v>
      </c>
      <c r="G487" s="1">
        <v>0.3</v>
      </c>
      <c r="H487" s="3">
        <f t="shared" si="11"/>
        <v>2378600</v>
      </c>
    </row>
    <row r="488" spans="1:8" x14ac:dyDescent="0.35">
      <c r="A488">
        <v>729835002</v>
      </c>
      <c r="B488" t="s">
        <v>65</v>
      </c>
      <c r="C488" t="s">
        <v>63</v>
      </c>
      <c r="D488" t="s">
        <v>64</v>
      </c>
      <c r="E488" t="s">
        <v>14</v>
      </c>
      <c r="F488" s="3">
        <v>3398000</v>
      </c>
      <c r="G488" s="1">
        <v>0.3</v>
      </c>
      <c r="H488" s="3">
        <f t="shared" si="11"/>
        <v>2378600</v>
      </c>
    </row>
    <row r="489" spans="1:8" x14ac:dyDescent="0.35">
      <c r="A489">
        <v>729835003</v>
      </c>
      <c r="B489" t="s">
        <v>66</v>
      </c>
      <c r="C489" t="s">
        <v>63</v>
      </c>
      <c r="D489" t="s">
        <v>64</v>
      </c>
      <c r="E489" t="s">
        <v>14</v>
      </c>
      <c r="F489" s="3">
        <v>3398000</v>
      </c>
      <c r="G489" s="1">
        <v>0.3</v>
      </c>
      <c r="H489" s="3">
        <f t="shared" si="11"/>
        <v>2378600</v>
      </c>
    </row>
    <row r="490" spans="1:8" x14ac:dyDescent="0.35">
      <c r="A490">
        <v>729835004</v>
      </c>
      <c r="B490" t="s">
        <v>67</v>
      </c>
      <c r="C490" t="s">
        <v>63</v>
      </c>
      <c r="D490" t="s">
        <v>64</v>
      </c>
      <c r="E490" t="s">
        <v>14</v>
      </c>
      <c r="F490" s="3">
        <v>3398000</v>
      </c>
      <c r="G490" s="1">
        <v>0.3</v>
      </c>
      <c r="H490" s="3">
        <f t="shared" si="11"/>
        <v>2378600</v>
      </c>
    </row>
    <row r="491" spans="1:8" x14ac:dyDescent="0.35">
      <c r="A491">
        <v>729835005</v>
      </c>
      <c r="B491" t="s">
        <v>68</v>
      </c>
      <c r="C491" t="s">
        <v>63</v>
      </c>
      <c r="D491" t="s">
        <v>64</v>
      </c>
      <c r="E491" t="s">
        <v>14</v>
      </c>
      <c r="F491" s="3">
        <v>3398000</v>
      </c>
      <c r="G491" s="1">
        <v>0.3</v>
      </c>
      <c r="H491" s="3">
        <f t="shared" si="11"/>
        <v>2378600</v>
      </c>
    </row>
    <row r="492" spans="1:8" x14ac:dyDescent="0.35">
      <c r="A492">
        <v>729835006</v>
      </c>
      <c r="B492" t="s">
        <v>69</v>
      </c>
      <c r="C492" t="s">
        <v>63</v>
      </c>
      <c r="D492" t="s">
        <v>64</v>
      </c>
      <c r="E492" t="s">
        <v>14</v>
      </c>
      <c r="F492" s="3">
        <v>3398000</v>
      </c>
      <c r="G492" s="1">
        <v>0.3</v>
      </c>
      <c r="H492" s="3">
        <f t="shared" si="11"/>
        <v>2378600</v>
      </c>
    </row>
    <row r="493" spans="1:8" x14ac:dyDescent="0.35">
      <c r="A493">
        <v>729835009</v>
      </c>
      <c r="B493" t="s">
        <v>70</v>
      </c>
      <c r="C493" t="s">
        <v>63</v>
      </c>
      <c r="D493" t="s">
        <v>64</v>
      </c>
      <c r="E493" t="s">
        <v>14</v>
      </c>
      <c r="F493" s="3">
        <v>3398000</v>
      </c>
      <c r="G493" s="1">
        <v>0.3</v>
      </c>
      <c r="H493" s="3">
        <f t="shared" si="11"/>
        <v>2378600</v>
      </c>
    </row>
    <row r="494" spans="1:8" x14ac:dyDescent="0.35">
      <c r="A494">
        <v>729835010</v>
      </c>
      <c r="B494" t="s">
        <v>71</v>
      </c>
      <c r="C494" t="s">
        <v>63</v>
      </c>
      <c r="D494" t="s">
        <v>64</v>
      </c>
      <c r="E494" t="s">
        <v>14</v>
      </c>
      <c r="F494" s="3">
        <v>3398000</v>
      </c>
      <c r="G494" s="1">
        <v>0.3</v>
      </c>
      <c r="H494" s="3">
        <f t="shared" si="11"/>
        <v>2378600</v>
      </c>
    </row>
    <row r="495" spans="1:8" x14ac:dyDescent="0.35">
      <c r="A495">
        <v>729835014</v>
      </c>
      <c r="B495" t="s">
        <v>72</v>
      </c>
      <c r="C495" t="s">
        <v>63</v>
      </c>
      <c r="D495" t="s">
        <v>64</v>
      </c>
      <c r="E495" t="s">
        <v>14</v>
      </c>
      <c r="F495" s="3">
        <v>3398000</v>
      </c>
      <c r="G495" s="1">
        <v>0.3</v>
      </c>
      <c r="H495" s="3">
        <f t="shared" si="11"/>
        <v>2378600</v>
      </c>
    </row>
    <row r="496" spans="1:8" x14ac:dyDescent="0.35">
      <c r="A496">
        <v>729835015</v>
      </c>
      <c r="B496" t="s">
        <v>73</v>
      </c>
      <c r="C496" t="s">
        <v>63</v>
      </c>
      <c r="D496" t="s">
        <v>64</v>
      </c>
      <c r="E496" t="s">
        <v>14</v>
      </c>
      <c r="F496" s="3">
        <v>3398000</v>
      </c>
      <c r="G496" s="1">
        <v>0.3</v>
      </c>
      <c r="H496" s="3">
        <f t="shared" si="11"/>
        <v>2378600</v>
      </c>
    </row>
    <row r="497" spans="1:8" x14ac:dyDescent="0.35">
      <c r="A497">
        <v>729835018</v>
      </c>
      <c r="B497" t="s">
        <v>918</v>
      </c>
      <c r="C497" t="s">
        <v>63</v>
      </c>
      <c r="D497" t="s">
        <v>64</v>
      </c>
      <c r="E497" t="s">
        <v>14</v>
      </c>
      <c r="F497" s="3">
        <v>3398000</v>
      </c>
      <c r="G497" s="1">
        <v>0.3</v>
      </c>
      <c r="H497" s="3">
        <f t="shared" si="11"/>
        <v>2378600</v>
      </c>
    </row>
    <row r="498" spans="1:8" x14ac:dyDescent="0.35">
      <c r="A498">
        <v>729835020</v>
      </c>
      <c r="B498" t="s">
        <v>74</v>
      </c>
      <c r="C498" t="s">
        <v>63</v>
      </c>
      <c r="D498" t="s">
        <v>64</v>
      </c>
      <c r="E498" t="s">
        <v>14</v>
      </c>
      <c r="F498" s="3">
        <v>3398000</v>
      </c>
      <c r="G498" s="1">
        <v>0.3</v>
      </c>
      <c r="H498" s="3">
        <f t="shared" si="11"/>
        <v>2378600</v>
      </c>
    </row>
    <row r="499" spans="1:8" x14ac:dyDescent="0.35">
      <c r="A499">
        <v>729835021</v>
      </c>
      <c r="B499" t="s">
        <v>75</v>
      </c>
      <c r="C499" t="s">
        <v>63</v>
      </c>
      <c r="D499" t="s">
        <v>64</v>
      </c>
      <c r="E499" t="s">
        <v>14</v>
      </c>
      <c r="F499" s="3">
        <v>3398000</v>
      </c>
      <c r="G499" s="1">
        <v>0.3</v>
      </c>
      <c r="H499" s="3">
        <f t="shared" si="11"/>
        <v>2378600</v>
      </c>
    </row>
    <row r="500" spans="1:8" x14ac:dyDescent="0.35">
      <c r="A500">
        <v>729835027</v>
      </c>
      <c r="B500" t="s">
        <v>76</v>
      </c>
      <c r="C500" t="s">
        <v>63</v>
      </c>
      <c r="D500" t="s">
        <v>64</v>
      </c>
      <c r="E500" t="s">
        <v>14</v>
      </c>
      <c r="F500" s="3">
        <v>3398000</v>
      </c>
      <c r="G500" s="1">
        <v>0.3</v>
      </c>
      <c r="H500" s="3">
        <f t="shared" si="11"/>
        <v>2378600</v>
      </c>
    </row>
    <row r="501" spans="1:8" x14ac:dyDescent="0.35">
      <c r="A501">
        <v>729835028</v>
      </c>
      <c r="B501" t="s">
        <v>77</v>
      </c>
      <c r="C501" t="s">
        <v>63</v>
      </c>
      <c r="D501" t="s">
        <v>64</v>
      </c>
      <c r="E501" t="s">
        <v>14</v>
      </c>
      <c r="F501" s="3">
        <v>3398000</v>
      </c>
      <c r="G501" s="1">
        <v>0.3</v>
      </c>
      <c r="H501" s="3">
        <f t="shared" si="11"/>
        <v>2378600</v>
      </c>
    </row>
    <row r="502" spans="1:8" x14ac:dyDescent="0.35">
      <c r="A502">
        <v>729835029</v>
      </c>
      <c r="B502" t="s">
        <v>78</v>
      </c>
      <c r="C502" t="s">
        <v>63</v>
      </c>
      <c r="D502" t="s">
        <v>64</v>
      </c>
      <c r="E502" t="s">
        <v>14</v>
      </c>
      <c r="F502" s="3">
        <v>3398000</v>
      </c>
      <c r="G502" s="1">
        <v>0.3</v>
      </c>
      <c r="H502" s="3">
        <f t="shared" si="11"/>
        <v>2378600</v>
      </c>
    </row>
    <row r="503" spans="1:8" x14ac:dyDescent="0.35">
      <c r="A503">
        <v>729835031</v>
      </c>
      <c r="B503" t="s">
        <v>79</v>
      </c>
      <c r="C503" t="s">
        <v>63</v>
      </c>
      <c r="D503" t="s">
        <v>64</v>
      </c>
      <c r="E503" t="s">
        <v>14</v>
      </c>
      <c r="F503" s="3">
        <v>3398000</v>
      </c>
      <c r="G503" s="1">
        <v>0.3</v>
      </c>
      <c r="H503" s="3">
        <f t="shared" si="11"/>
        <v>2378600</v>
      </c>
    </row>
    <row r="504" spans="1:8" x14ac:dyDescent="0.35">
      <c r="A504">
        <v>729835032</v>
      </c>
      <c r="B504" t="s">
        <v>80</v>
      </c>
      <c r="C504" t="s">
        <v>63</v>
      </c>
      <c r="D504" t="s">
        <v>64</v>
      </c>
      <c r="E504" t="s">
        <v>14</v>
      </c>
      <c r="F504" s="3">
        <v>3398000</v>
      </c>
      <c r="G504" s="1">
        <v>0.3</v>
      </c>
      <c r="H504" s="3">
        <f t="shared" si="11"/>
        <v>2378600</v>
      </c>
    </row>
    <row r="505" spans="1:8" x14ac:dyDescent="0.35">
      <c r="A505">
        <v>729835033</v>
      </c>
      <c r="B505" t="s">
        <v>81</v>
      </c>
      <c r="C505" t="s">
        <v>63</v>
      </c>
      <c r="D505" t="s">
        <v>64</v>
      </c>
      <c r="E505" t="s">
        <v>14</v>
      </c>
      <c r="F505" s="3">
        <v>3398000</v>
      </c>
      <c r="G505" s="1">
        <v>0.3</v>
      </c>
      <c r="H505" s="3">
        <f t="shared" si="11"/>
        <v>2378600</v>
      </c>
    </row>
    <row r="506" spans="1:8" x14ac:dyDescent="0.35">
      <c r="A506">
        <v>729835034</v>
      </c>
      <c r="B506" t="s">
        <v>82</v>
      </c>
      <c r="C506" t="s">
        <v>63</v>
      </c>
      <c r="D506" t="s">
        <v>64</v>
      </c>
      <c r="E506" t="s">
        <v>14</v>
      </c>
      <c r="F506" s="3">
        <v>3398000</v>
      </c>
      <c r="G506" s="1">
        <v>0.3</v>
      </c>
      <c r="H506" s="3">
        <f t="shared" si="11"/>
        <v>2378600</v>
      </c>
    </row>
    <row r="507" spans="1:8" x14ac:dyDescent="0.35">
      <c r="A507">
        <v>729835035</v>
      </c>
      <c r="B507" t="s">
        <v>83</v>
      </c>
      <c r="C507" t="s">
        <v>63</v>
      </c>
      <c r="D507" t="s">
        <v>64</v>
      </c>
      <c r="E507" t="s">
        <v>14</v>
      </c>
      <c r="F507" s="3">
        <v>3398000</v>
      </c>
      <c r="G507" s="1">
        <v>0.3</v>
      </c>
      <c r="H507" s="3">
        <f t="shared" si="11"/>
        <v>2378600</v>
      </c>
    </row>
    <row r="508" spans="1:8" x14ac:dyDescent="0.35">
      <c r="A508">
        <v>729837005</v>
      </c>
      <c r="B508" t="s">
        <v>919</v>
      </c>
      <c r="C508" t="s">
        <v>63</v>
      </c>
      <c r="D508" t="s">
        <v>64</v>
      </c>
      <c r="E508" t="s">
        <v>14</v>
      </c>
      <c r="F508" s="3">
        <v>1998000</v>
      </c>
      <c r="G508" s="1">
        <v>0.3</v>
      </c>
      <c r="H508" s="3">
        <f t="shared" si="11"/>
        <v>1398600</v>
      </c>
    </row>
    <row r="509" spans="1:8" x14ac:dyDescent="0.35">
      <c r="A509">
        <v>731840001</v>
      </c>
      <c r="B509" t="s">
        <v>920</v>
      </c>
      <c r="C509" t="s">
        <v>63</v>
      </c>
      <c r="D509" t="s">
        <v>64</v>
      </c>
      <c r="E509" t="s">
        <v>14</v>
      </c>
      <c r="F509" s="3">
        <v>2198000</v>
      </c>
      <c r="G509" s="1">
        <v>0.3</v>
      </c>
      <c r="H509" s="3">
        <f t="shared" si="11"/>
        <v>1538600</v>
      </c>
    </row>
    <row r="510" spans="1:8" x14ac:dyDescent="0.35">
      <c r="A510">
        <v>731840002</v>
      </c>
      <c r="B510" t="s">
        <v>921</v>
      </c>
      <c r="C510" t="s">
        <v>63</v>
      </c>
      <c r="D510" t="s">
        <v>64</v>
      </c>
      <c r="E510" t="s">
        <v>14</v>
      </c>
      <c r="F510" s="3">
        <v>2198000</v>
      </c>
      <c r="G510" s="1">
        <v>0.3</v>
      </c>
      <c r="H510" s="3">
        <f t="shared" si="11"/>
        <v>1538600</v>
      </c>
    </row>
    <row r="511" spans="1:8" x14ac:dyDescent="0.35">
      <c r="A511">
        <v>731840004</v>
      </c>
      <c r="B511" t="s">
        <v>922</v>
      </c>
      <c r="C511" t="s">
        <v>63</v>
      </c>
      <c r="D511" t="s">
        <v>64</v>
      </c>
      <c r="E511" t="s">
        <v>14</v>
      </c>
      <c r="F511" s="3">
        <v>2198000</v>
      </c>
      <c r="G511" s="1">
        <v>0.3</v>
      </c>
      <c r="H511" s="3">
        <f t="shared" si="11"/>
        <v>1538600</v>
      </c>
    </row>
    <row r="512" spans="1:8" x14ac:dyDescent="0.35">
      <c r="A512">
        <v>731842001</v>
      </c>
      <c r="B512" t="s">
        <v>923</v>
      </c>
      <c r="C512" t="s">
        <v>63</v>
      </c>
      <c r="D512" t="s">
        <v>64</v>
      </c>
      <c r="E512" t="s">
        <v>14</v>
      </c>
      <c r="F512" s="3">
        <v>848000</v>
      </c>
      <c r="G512" s="1">
        <v>0.3</v>
      </c>
      <c r="H512" s="3">
        <f t="shared" si="11"/>
        <v>593600</v>
      </c>
    </row>
    <row r="513" spans="1:8" x14ac:dyDescent="0.35">
      <c r="A513">
        <v>731842003</v>
      </c>
      <c r="B513" t="s">
        <v>924</v>
      </c>
      <c r="C513" t="s">
        <v>63</v>
      </c>
      <c r="D513" t="s">
        <v>64</v>
      </c>
      <c r="E513" t="s">
        <v>14</v>
      </c>
      <c r="F513" s="3">
        <v>848000</v>
      </c>
      <c r="G513" s="1">
        <v>0.3</v>
      </c>
      <c r="H513" s="3">
        <f t="shared" si="11"/>
        <v>593600</v>
      </c>
    </row>
    <row r="514" spans="1:8" x14ac:dyDescent="0.35">
      <c r="A514">
        <v>731842005</v>
      </c>
      <c r="B514" t="s">
        <v>925</v>
      </c>
      <c r="C514" t="s">
        <v>63</v>
      </c>
      <c r="D514" t="s">
        <v>64</v>
      </c>
      <c r="E514" t="s">
        <v>14</v>
      </c>
      <c r="F514" s="3">
        <v>848000</v>
      </c>
      <c r="G514" s="1">
        <v>0.3</v>
      </c>
      <c r="H514" s="3">
        <f t="shared" si="11"/>
        <v>593600</v>
      </c>
    </row>
    <row r="515" spans="1:8" x14ac:dyDescent="0.35">
      <c r="A515">
        <v>731842007</v>
      </c>
      <c r="B515" t="s">
        <v>926</v>
      </c>
      <c r="C515" t="s">
        <v>63</v>
      </c>
      <c r="D515" t="s">
        <v>64</v>
      </c>
      <c r="E515" t="s">
        <v>14</v>
      </c>
      <c r="F515" s="3">
        <v>848000</v>
      </c>
      <c r="G515" s="1">
        <v>0.3</v>
      </c>
      <c r="H515" s="3">
        <f t="shared" si="11"/>
        <v>593600</v>
      </c>
    </row>
    <row r="516" spans="1:8" x14ac:dyDescent="0.35">
      <c r="A516">
        <v>731843003</v>
      </c>
      <c r="B516" t="s">
        <v>927</v>
      </c>
      <c r="C516" t="s">
        <v>63</v>
      </c>
      <c r="D516" t="s">
        <v>64</v>
      </c>
      <c r="E516" t="s">
        <v>14</v>
      </c>
      <c r="F516" s="3">
        <v>1798000</v>
      </c>
      <c r="G516" s="1">
        <v>0.3</v>
      </c>
      <c r="H516" s="3">
        <f t="shared" si="11"/>
        <v>1258600</v>
      </c>
    </row>
    <row r="517" spans="1:8" x14ac:dyDescent="0.35">
      <c r="A517">
        <v>733586005</v>
      </c>
      <c r="B517" t="s">
        <v>928</v>
      </c>
      <c r="C517" t="s">
        <v>63</v>
      </c>
      <c r="D517" t="s">
        <v>64</v>
      </c>
      <c r="E517" t="s">
        <v>14</v>
      </c>
      <c r="F517" s="3">
        <v>728000</v>
      </c>
      <c r="G517" s="1">
        <v>0.7</v>
      </c>
      <c r="H517" s="3">
        <f t="shared" si="11"/>
        <v>218400.00000000003</v>
      </c>
    </row>
    <row r="518" spans="1:8" x14ac:dyDescent="0.35">
      <c r="A518">
        <v>733587005</v>
      </c>
      <c r="B518" t="s">
        <v>929</v>
      </c>
      <c r="C518" t="s">
        <v>63</v>
      </c>
      <c r="D518" t="s">
        <v>64</v>
      </c>
      <c r="E518" t="s">
        <v>14</v>
      </c>
      <c r="F518" s="3">
        <v>798000</v>
      </c>
      <c r="G518" s="1">
        <v>0.7</v>
      </c>
      <c r="H518" s="3">
        <f t="shared" si="11"/>
        <v>239400.00000000003</v>
      </c>
    </row>
    <row r="519" spans="1:8" x14ac:dyDescent="0.35">
      <c r="A519">
        <v>733587006</v>
      </c>
      <c r="B519" t="s">
        <v>930</v>
      </c>
      <c r="C519" t="s">
        <v>63</v>
      </c>
      <c r="D519" t="s">
        <v>64</v>
      </c>
      <c r="E519" t="s">
        <v>14</v>
      </c>
      <c r="F519" s="3">
        <v>798000</v>
      </c>
      <c r="G519" s="1">
        <v>0.7</v>
      </c>
      <c r="H519" s="3">
        <f t="shared" si="11"/>
        <v>239400.00000000003</v>
      </c>
    </row>
    <row r="520" spans="1:8" x14ac:dyDescent="0.35">
      <c r="A520">
        <v>736497003</v>
      </c>
      <c r="B520" t="s">
        <v>84</v>
      </c>
      <c r="C520" t="s">
        <v>63</v>
      </c>
      <c r="D520" t="s">
        <v>64</v>
      </c>
      <c r="E520" t="s">
        <v>14</v>
      </c>
      <c r="F520" s="3">
        <v>5198000</v>
      </c>
      <c r="G520" s="1">
        <v>0.3</v>
      </c>
      <c r="H520" s="3">
        <f t="shared" si="11"/>
        <v>3638600</v>
      </c>
    </row>
    <row r="521" spans="1:8" x14ac:dyDescent="0.35">
      <c r="A521">
        <v>736497004</v>
      </c>
      <c r="B521" t="s">
        <v>85</v>
      </c>
      <c r="C521" t="s">
        <v>63</v>
      </c>
      <c r="D521" t="s">
        <v>64</v>
      </c>
      <c r="E521" t="s">
        <v>14</v>
      </c>
      <c r="F521" s="3">
        <v>5198000</v>
      </c>
      <c r="G521" s="1">
        <v>0.3</v>
      </c>
      <c r="H521" s="3">
        <f t="shared" si="11"/>
        <v>3638600</v>
      </c>
    </row>
    <row r="522" spans="1:8" x14ac:dyDescent="0.35">
      <c r="A522">
        <v>736497005</v>
      </c>
      <c r="B522" t="s">
        <v>86</v>
      </c>
      <c r="C522" t="s">
        <v>63</v>
      </c>
      <c r="D522" t="s">
        <v>64</v>
      </c>
      <c r="E522" t="s">
        <v>14</v>
      </c>
      <c r="F522" s="3">
        <v>5198000</v>
      </c>
      <c r="G522" s="1">
        <v>0.3</v>
      </c>
      <c r="H522" s="3">
        <f t="shared" si="11"/>
        <v>3638600</v>
      </c>
    </row>
    <row r="523" spans="1:8" x14ac:dyDescent="0.35">
      <c r="A523">
        <v>736768001</v>
      </c>
      <c r="B523" t="s">
        <v>87</v>
      </c>
      <c r="C523" t="s">
        <v>63</v>
      </c>
      <c r="D523" t="s">
        <v>64</v>
      </c>
      <c r="E523" t="s">
        <v>14</v>
      </c>
      <c r="F523" s="3">
        <v>5498000</v>
      </c>
      <c r="G523" s="1">
        <v>0.3</v>
      </c>
      <c r="H523" s="3">
        <f t="shared" si="11"/>
        <v>3848599.9999999995</v>
      </c>
    </row>
    <row r="524" spans="1:8" x14ac:dyDescent="0.35">
      <c r="A524">
        <v>736768004</v>
      </c>
      <c r="B524" t="s">
        <v>88</v>
      </c>
      <c r="C524" t="s">
        <v>63</v>
      </c>
      <c r="D524" t="s">
        <v>64</v>
      </c>
      <c r="E524" t="s">
        <v>14</v>
      </c>
      <c r="F524" s="3">
        <v>5498000</v>
      </c>
      <c r="G524" s="1">
        <v>0.3</v>
      </c>
      <c r="H524" s="3">
        <f t="shared" si="11"/>
        <v>3848599.9999999995</v>
      </c>
    </row>
    <row r="525" spans="1:8" x14ac:dyDescent="0.35">
      <c r="A525">
        <v>728431001</v>
      </c>
      <c r="B525" t="s">
        <v>931</v>
      </c>
      <c r="C525" t="s">
        <v>158</v>
      </c>
      <c r="D525" t="s">
        <v>64</v>
      </c>
      <c r="E525" t="s">
        <v>14</v>
      </c>
      <c r="F525" s="3">
        <v>1648000</v>
      </c>
      <c r="G525" s="1">
        <v>0.2</v>
      </c>
      <c r="H525" s="3">
        <f t="shared" si="11"/>
        <v>1318400</v>
      </c>
    </row>
    <row r="526" spans="1:8" x14ac:dyDescent="0.35">
      <c r="A526">
        <v>730432002</v>
      </c>
      <c r="B526" t="s">
        <v>182</v>
      </c>
      <c r="C526" t="s">
        <v>158</v>
      </c>
      <c r="D526" t="s">
        <v>64</v>
      </c>
      <c r="E526" t="s">
        <v>14</v>
      </c>
      <c r="F526" s="3">
        <v>1398000</v>
      </c>
      <c r="G526" s="1">
        <v>0.2</v>
      </c>
      <c r="H526" s="3">
        <f t="shared" si="11"/>
        <v>1118400</v>
      </c>
    </row>
    <row r="527" spans="1:8" x14ac:dyDescent="0.35">
      <c r="A527">
        <v>731110002</v>
      </c>
      <c r="B527" t="s">
        <v>932</v>
      </c>
      <c r="C527" t="s">
        <v>158</v>
      </c>
      <c r="D527" t="s">
        <v>64</v>
      </c>
      <c r="E527" t="s">
        <v>14</v>
      </c>
      <c r="F527" s="3">
        <v>2798000</v>
      </c>
      <c r="G527" s="1">
        <v>0.2</v>
      </c>
      <c r="H527" s="3">
        <f t="shared" si="11"/>
        <v>2238400</v>
      </c>
    </row>
    <row r="528" spans="1:8" x14ac:dyDescent="0.35">
      <c r="A528">
        <v>731295002</v>
      </c>
      <c r="B528" t="s">
        <v>933</v>
      </c>
      <c r="C528" t="s">
        <v>158</v>
      </c>
      <c r="D528" t="s">
        <v>64</v>
      </c>
      <c r="E528" t="s">
        <v>14</v>
      </c>
      <c r="F528" s="3">
        <v>2648000</v>
      </c>
      <c r="G528" s="1">
        <v>0.2</v>
      </c>
      <c r="H528" s="3">
        <f t="shared" si="11"/>
        <v>2118400</v>
      </c>
    </row>
    <row r="529" spans="1:8" x14ac:dyDescent="0.35">
      <c r="A529">
        <v>731295005</v>
      </c>
      <c r="B529" t="s">
        <v>934</v>
      </c>
      <c r="C529" t="s">
        <v>158</v>
      </c>
      <c r="D529" t="s">
        <v>64</v>
      </c>
      <c r="E529" t="s">
        <v>14</v>
      </c>
      <c r="F529" s="3">
        <v>2648000</v>
      </c>
      <c r="G529" s="1">
        <v>0.2</v>
      </c>
      <c r="H529" s="3">
        <f t="shared" si="11"/>
        <v>2118400</v>
      </c>
    </row>
    <row r="530" spans="1:8" x14ac:dyDescent="0.35">
      <c r="A530">
        <v>731295008</v>
      </c>
      <c r="B530" t="s">
        <v>172</v>
      </c>
      <c r="C530" t="s">
        <v>158</v>
      </c>
      <c r="D530" t="s">
        <v>64</v>
      </c>
      <c r="E530" t="s">
        <v>14</v>
      </c>
      <c r="F530" s="3">
        <v>2648000</v>
      </c>
      <c r="G530" s="1">
        <v>0.2</v>
      </c>
      <c r="H530" s="3">
        <f t="shared" si="11"/>
        <v>2118400</v>
      </c>
    </row>
    <row r="531" spans="1:8" x14ac:dyDescent="0.35">
      <c r="A531">
        <v>731295009</v>
      </c>
      <c r="B531" t="s">
        <v>174</v>
      </c>
      <c r="C531" t="s">
        <v>158</v>
      </c>
      <c r="D531" t="s">
        <v>64</v>
      </c>
      <c r="E531" t="s">
        <v>14</v>
      </c>
      <c r="F531" s="3">
        <v>2648000</v>
      </c>
      <c r="G531" s="1">
        <v>0.2</v>
      </c>
      <c r="H531" s="3">
        <f t="shared" si="11"/>
        <v>2118400</v>
      </c>
    </row>
    <row r="532" spans="1:8" x14ac:dyDescent="0.35">
      <c r="A532">
        <v>731295017</v>
      </c>
      <c r="B532" t="s">
        <v>935</v>
      </c>
      <c r="C532" t="s">
        <v>158</v>
      </c>
      <c r="D532" t="s">
        <v>64</v>
      </c>
      <c r="E532" t="s">
        <v>14</v>
      </c>
      <c r="F532" s="3">
        <v>2648000</v>
      </c>
      <c r="G532" s="1">
        <v>0.2</v>
      </c>
      <c r="H532" s="3">
        <f t="shared" si="11"/>
        <v>2118400</v>
      </c>
    </row>
    <row r="533" spans="1:8" x14ac:dyDescent="0.35">
      <c r="A533">
        <v>731295018</v>
      </c>
      <c r="B533" t="s">
        <v>173</v>
      </c>
      <c r="C533" t="s">
        <v>158</v>
      </c>
      <c r="D533" t="s">
        <v>64</v>
      </c>
      <c r="E533" t="s">
        <v>14</v>
      </c>
      <c r="F533" s="3">
        <v>2648000</v>
      </c>
      <c r="G533" s="1">
        <v>0.2</v>
      </c>
      <c r="H533" s="3">
        <f t="shared" si="11"/>
        <v>2118400</v>
      </c>
    </row>
    <row r="534" spans="1:8" x14ac:dyDescent="0.35">
      <c r="A534">
        <v>731659001</v>
      </c>
      <c r="B534" t="s">
        <v>160</v>
      </c>
      <c r="C534" t="s">
        <v>158</v>
      </c>
      <c r="D534" t="s">
        <v>64</v>
      </c>
      <c r="E534" t="s">
        <v>14</v>
      </c>
      <c r="F534" s="3">
        <v>928000</v>
      </c>
      <c r="G534" s="1">
        <v>0.2</v>
      </c>
      <c r="H534" s="3">
        <f t="shared" ref="H534:H597" si="12">F534*(1-G534)</f>
        <v>742400</v>
      </c>
    </row>
    <row r="535" spans="1:8" x14ac:dyDescent="0.35">
      <c r="A535">
        <v>731659002</v>
      </c>
      <c r="B535" t="s">
        <v>163</v>
      </c>
      <c r="C535" t="s">
        <v>158</v>
      </c>
      <c r="D535" t="s">
        <v>64</v>
      </c>
      <c r="E535" t="s">
        <v>14</v>
      </c>
      <c r="F535" s="3">
        <v>928000</v>
      </c>
      <c r="G535" s="1">
        <v>0.2</v>
      </c>
      <c r="H535" s="3">
        <f t="shared" si="12"/>
        <v>742400</v>
      </c>
    </row>
    <row r="536" spans="1:8" x14ac:dyDescent="0.35">
      <c r="A536">
        <v>731659003</v>
      </c>
      <c r="B536" t="s">
        <v>162</v>
      </c>
      <c r="C536" t="s">
        <v>158</v>
      </c>
      <c r="D536" t="s">
        <v>64</v>
      </c>
      <c r="E536" t="s">
        <v>14</v>
      </c>
      <c r="F536" s="3">
        <v>928000</v>
      </c>
      <c r="G536" s="1">
        <v>0.2</v>
      </c>
      <c r="H536" s="3">
        <f t="shared" si="12"/>
        <v>742400</v>
      </c>
    </row>
    <row r="537" spans="1:8" x14ac:dyDescent="0.35">
      <c r="A537">
        <v>731659004</v>
      </c>
      <c r="B537" t="s">
        <v>165</v>
      </c>
      <c r="C537" t="s">
        <v>158</v>
      </c>
      <c r="D537" t="s">
        <v>64</v>
      </c>
      <c r="E537" t="s">
        <v>14</v>
      </c>
      <c r="F537" s="3">
        <v>928000</v>
      </c>
      <c r="G537" s="1">
        <v>0.2</v>
      </c>
      <c r="H537" s="3">
        <f t="shared" si="12"/>
        <v>742400</v>
      </c>
    </row>
    <row r="538" spans="1:8" x14ac:dyDescent="0.35">
      <c r="A538">
        <v>731659005</v>
      </c>
      <c r="B538" t="s">
        <v>161</v>
      </c>
      <c r="C538" t="s">
        <v>158</v>
      </c>
      <c r="D538" t="s">
        <v>64</v>
      </c>
      <c r="E538" t="s">
        <v>14</v>
      </c>
      <c r="F538" s="3">
        <v>928000</v>
      </c>
      <c r="G538" s="1">
        <v>0.2</v>
      </c>
      <c r="H538" s="3">
        <f t="shared" si="12"/>
        <v>742400</v>
      </c>
    </row>
    <row r="539" spans="1:8" x14ac:dyDescent="0.35">
      <c r="A539">
        <v>731659006</v>
      </c>
      <c r="B539" t="s">
        <v>164</v>
      </c>
      <c r="C539" t="s">
        <v>158</v>
      </c>
      <c r="D539" t="s">
        <v>64</v>
      </c>
      <c r="E539" t="s">
        <v>14</v>
      </c>
      <c r="F539" s="3">
        <v>928000</v>
      </c>
      <c r="G539" s="1">
        <v>0.2</v>
      </c>
      <c r="H539" s="3">
        <f t="shared" si="12"/>
        <v>742400</v>
      </c>
    </row>
    <row r="540" spans="1:8" x14ac:dyDescent="0.35">
      <c r="A540">
        <v>731659010</v>
      </c>
      <c r="B540" t="s">
        <v>159</v>
      </c>
      <c r="C540" t="s">
        <v>158</v>
      </c>
      <c r="D540" t="s">
        <v>64</v>
      </c>
      <c r="E540" t="s">
        <v>14</v>
      </c>
      <c r="F540" s="3">
        <v>928000</v>
      </c>
      <c r="G540" s="1">
        <v>0.2</v>
      </c>
      <c r="H540" s="3">
        <f t="shared" si="12"/>
        <v>742400</v>
      </c>
    </row>
    <row r="541" spans="1:8" x14ac:dyDescent="0.35">
      <c r="A541">
        <v>731659011</v>
      </c>
      <c r="B541" t="s">
        <v>157</v>
      </c>
      <c r="C541" t="s">
        <v>158</v>
      </c>
      <c r="D541" t="s">
        <v>64</v>
      </c>
      <c r="E541" t="s">
        <v>14</v>
      </c>
      <c r="F541" s="3">
        <v>928000</v>
      </c>
      <c r="G541" s="1">
        <v>0.2</v>
      </c>
      <c r="H541" s="3">
        <f t="shared" si="12"/>
        <v>742400</v>
      </c>
    </row>
    <row r="542" spans="1:8" x14ac:dyDescent="0.35">
      <c r="A542">
        <v>731660002</v>
      </c>
      <c r="B542" t="s">
        <v>168</v>
      </c>
      <c r="C542" t="s">
        <v>158</v>
      </c>
      <c r="D542" t="s">
        <v>64</v>
      </c>
      <c r="E542" t="s">
        <v>14</v>
      </c>
      <c r="F542" s="3">
        <v>628000</v>
      </c>
      <c r="G542" s="1">
        <v>0.2</v>
      </c>
      <c r="H542" s="3">
        <f t="shared" si="12"/>
        <v>502400</v>
      </c>
    </row>
    <row r="543" spans="1:8" x14ac:dyDescent="0.35">
      <c r="A543">
        <v>731660005</v>
      </c>
      <c r="B543" t="s">
        <v>936</v>
      </c>
      <c r="C543" t="s">
        <v>158</v>
      </c>
      <c r="D543" t="s">
        <v>64</v>
      </c>
      <c r="E543" t="s">
        <v>14</v>
      </c>
      <c r="F543" s="3">
        <v>628000</v>
      </c>
      <c r="G543" s="1">
        <v>0.2</v>
      </c>
      <c r="H543" s="3">
        <f t="shared" si="12"/>
        <v>502400</v>
      </c>
    </row>
    <row r="544" spans="1:8" x14ac:dyDescent="0.35">
      <c r="A544">
        <v>731660006</v>
      </c>
      <c r="B544" t="s">
        <v>170</v>
      </c>
      <c r="C544" t="s">
        <v>158</v>
      </c>
      <c r="D544" t="s">
        <v>64</v>
      </c>
      <c r="E544" t="s">
        <v>14</v>
      </c>
      <c r="F544" s="3">
        <v>628000</v>
      </c>
      <c r="G544" s="1">
        <v>0.2</v>
      </c>
      <c r="H544" s="3">
        <f t="shared" si="12"/>
        <v>502400</v>
      </c>
    </row>
    <row r="545" spans="1:8" x14ac:dyDescent="0.35">
      <c r="A545">
        <v>731660007</v>
      </c>
      <c r="B545" t="s">
        <v>937</v>
      </c>
      <c r="C545" t="s">
        <v>158</v>
      </c>
      <c r="D545" t="s">
        <v>64</v>
      </c>
      <c r="E545" t="s">
        <v>14</v>
      </c>
      <c r="F545" s="3">
        <v>628000</v>
      </c>
      <c r="G545" s="1">
        <v>0.2</v>
      </c>
      <c r="H545" s="3">
        <f t="shared" si="12"/>
        <v>502400</v>
      </c>
    </row>
    <row r="546" spans="1:8" x14ac:dyDescent="0.35">
      <c r="A546">
        <v>731660008</v>
      </c>
      <c r="B546" t="s">
        <v>169</v>
      </c>
      <c r="C546" t="s">
        <v>158</v>
      </c>
      <c r="D546" t="s">
        <v>64</v>
      </c>
      <c r="E546" t="s">
        <v>14</v>
      </c>
      <c r="F546" s="3">
        <v>628000</v>
      </c>
      <c r="G546" s="1">
        <v>0.2</v>
      </c>
      <c r="H546" s="3">
        <f t="shared" si="12"/>
        <v>502400</v>
      </c>
    </row>
    <row r="547" spans="1:8" x14ac:dyDescent="0.35">
      <c r="A547">
        <v>731660009</v>
      </c>
      <c r="B547" t="s">
        <v>938</v>
      </c>
      <c r="C547" t="s">
        <v>158</v>
      </c>
      <c r="D547" t="s">
        <v>64</v>
      </c>
      <c r="E547" t="s">
        <v>14</v>
      </c>
      <c r="F547" s="3">
        <v>628000</v>
      </c>
      <c r="G547" s="1">
        <v>0.2</v>
      </c>
      <c r="H547" s="3">
        <f t="shared" si="12"/>
        <v>502400</v>
      </c>
    </row>
    <row r="548" spans="1:8" x14ac:dyDescent="0.35">
      <c r="A548">
        <v>731660010</v>
      </c>
      <c r="B548" t="s">
        <v>939</v>
      </c>
      <c r="C548" t="s">
        <v>158</v>
      </c>
      <c r="D548" t="s">
        <v>64</v>
      </c>
      <c r="E548" t="s">
        <v>14</v>
      </c>
      <c r="F548" s="3">
        <v>628000</v>
      </c>
      <c r="G548" s="1">
        <v>0.2</v>
      </c>
      <c r="H548" s="3">
        <f t="shared" si="12"/>
        <v>502400</v>
      </c>
    </row>
    <row r="549" spans="1:8" x14ac:dyDescent="0.35">
      <c r="A549">
        <v>731660011</v>
      </c>
      <c r="B549" t="s">
        <v>166</v>
      </c>
      <c r="C549" t="s">
        <v>158</v>
      </c>
      <c r="D549" t="s">
        <v>64</v>
      </c>
      <c r="E549" t="s">
        <v>14</v>
      </c>
      <c r="F549" s="3">
        <v>628000</v>
      </c>
      <c r="G549" s="1">
        <v>0.2</v>
      </c>
      <c r="H549" s="3">
        <f t="shared" si="12"/>
        <v>502400</v>
      </c>
    </row>
    <row r="550" spans="1:8" x14ac:dyDescent="0.35">
      <c r="A550">
        <v>731660013</v>
      </c>
      <c r="B550" t="s">
        <v>940</v>
      </c>
      <c r="C550" t="s">
        <v>158</v>
      </c>
      <c r="D550" t="s">
        <v>64</v>
      </c>
      <c r="E550" t="s">
        <v>14</v>
      </c>
      <c r="F550" s="3">
        <v>628000</v>
      </c>
      <c r="G550" s="1">
        <v>0.2</v>
      </c>
      <c r="H550" s="3">
        <f t="shared" si="12"/>
        <v>502400</v>
      </c>
    </row>
    <row r="551" spans="1:8" x14ac:dyDescent="0.35">
      <c r="A551">
        <v>731660014</v>
      </c>
      <c r="B551" t="s">
        <v>167</v>
      </c>
      <c r="C551" t="s">
        <v>158</v>
      </c>
      <c r="D551" t="s">
        <v>64</v>
      </c>
      <c r="E551" t="s">
        <v>14</v>
      </c>
      <c r="F551" s="3">
        <v>628000</v>
      </c>
      <c r="G551" s="1">
        <v>0.2</v>
      </c>
      <c r="H551" s="3">
        <f t="shared" si="12"/>
        <v>502400</v>
      </c>
    </row>
    <row r="552" spans="1:8" x14ac:dyDescent="0.35">
      <c r="A552">
        <v>731660015</v>
      </c>
      <c r="B552" t="s">
        <v>941</v>
      </c>
      <c r="C552" t="s">
        <v>158</v>
      </c>
      <c r="D552" t="s">
        <v>64</v>
      </c>
      <c r="E552" t="s">
        <v>14</v>
      </c>
      <c r="F552" s="3">
        <v>628000</v>
      </c>
      <c r="G552" s="1">
        <v>0.2</v>
      </c>
      <c r="H552" s="3">
        <f t="shared" si="12"/>
        <v>502400</v>
      </c>
    </row>
    <row r="553" spans="1:8" x14ac:dyDescent="0.35">
      <c r="A553">
        <v>732100009</v>
      </c>
      <c r="B553" t="s">
        <v>942</v>
      </c>
      <c r="C553" t="s">
        <v>158</v>
      </c>
      <c r="D553" t="s">
        <v>64</v>
      </c>
      <c r="E553" t="s">
        <v>14</v>
      </c>
      <c r="F553" s="3">
        <v>1048000</v>
      </c>
      <c r="G553" s="1">
        <v>0.2</v>
      </c>
      <c r="H553" s="3">
        <f t="shared" si="12"/>
        <v>838400</v>
      </c>
    </row>
    <row r="554" spans="1:8" x14ac:dyDescent="0.35">
      <c r="A554">
        <v>732100010</v>
      </c>
      <c r="B554" t="s">
        <v>171</v>
      </c>
      <c r="C554" t="s">
        <v>158</v>
      </c>
      <c r="D554" t="s">
        <v>64</v>
      </c>
      <c r="E554" t="s">
        <v>14</v>
      </c>
      <c r="F554" s="3">
        <v>1048000</v>
      </c>
      <c r="G554" s="1">
        <v>0.2</v>
      </c>
      <c r="H554" s="3">
        <f t="shared" si="12"/>
        <v>838400</v>
      </c>
    </row>
    <row r="555" spans="1:8" x14ac:dyDescent="0.35">
      <c r="A555">
        <v>732101004</v>
      </c>
      <c r="B555" t="s">
        <v>943</v>
      </c>
      <c r="C555" t="s">
        <v>158</v>
      </c>
      <c r="D555" t="s">
        <v>64</v>
      </c>
      <c r="E555" t="s">
        <v>14</v>
      </c>
      <c r="F555" s="3">
        <v>1398000</v>
      </c>
      <c r="G555" s="1">
        <v>0.2</v>
      </c>
      <c r="H555" s="3">
        <f t="shared" si="12"/>
        <v>1118400</v>
      </c>
    </row>
    <row r="556" spans="1:8" x14ac:dyDescent="0.35">
      <c r="A556">
        <v>732101005</v>
      </c>
      <c r="B556" t="s">
        <v>183</v>
      </c>
      <c r="C556" t="s">
        <v>158</v>
      </c>
      <c r="D556" t="s">
        <v>64</v>
      </c>
      <c r="E556" t="s">
        <v>14</v>
      </c>
      <c r="F556" s="3">
        <v>1398000</v>
      </c>
      <c r="G556" s="1">
        <v>0.2</v>
      </c>
      <c r="H556" s="3">
        <f t="shared" si="12"/>
        <v>1118400</v>
      </c>
    </row>
    <row r="557" spans="1:8" x14ac:dyDescent="0.35">
      <c r="A557">
        <v>732101006</v>
      </c>
      <c r="B557" t="s">
        <v>944</v>
      </c>
      <c r="C557" t="s">
        <v>158</v>
      </c>
      <c r="D557" t="s">
        <v>64</v>
      </c>
      <c r="E557" t="s">
        <v>14</v>
      </c>
      <c r="F557" s="3">
        <v>1398000</v>
      </c>
      <c r="G557" s="1">
        <v>0.2</v>
      </c>
      <c r="H557" s="3">
        <f t="shared" si="12"/>
        <v>1118400</v>
      </c>
    </row>
    <row r="558" spans="1:8" x14ac:dyDescent="0.35">
      <c r="A558">
        <v>733574003</v>
      </c>
      <c r="B558" t="s">
        <v>193</v>
      </c>
      <c r="C558" t="s">
        <v>158</v>
      </c>
      <c r="D558" t="s">
        <v>64</v>
      </c>
      <c r="E558" t="s">
        <v>14</v>
      </c>
      <c r="F558" s="3">
        <v>948000</v>
      </c>
      <c r="G558" s="1">
        <v>0.2</v>
      </c>
      <c r="H558" s="3">
        <f t="shared" si="12"/>
        <v>758400</v>
      </c>
    </row>
    <row r="559" spans="1:8" x14ac:dyDescent="0.35">
      <c r="A559">
        <v>733575003</v>
      </c>
      <c r="B559" t="s">
        <v>195</v>
      </c>
      <c r="C559" t="s">
        <v>158</v>
      </c>
      <c r="D559" t="s">
        <v>64</v>
      </c>
      <c r="E559" t="s">
        <v>14</v>
      </c>
      <c r="F559" s="3">
        <v>948000</v>
      </c>
      <c r="G559" s="1">
        <v>0.2</v>
      </c>
      <c r="H559" s="3">
        <f t="shared" si="12"/>
        <v>758400</v>
      </c>
    </row>
    <row r="560" spans="1:8" x14ac:dyDescent="0.35">
      <c r="A560">
        <v>733575005</v>
      </c>
      <c r="B560" t="s">
        <v>194</v>
      </c>
      <c r="C560" t="s">
        <v>158</v>
      </c>
      <c r="D560" t="s">
        <v>64</v>
      </c>
      <c r="E560" t="s">
        <v>14</v>
      </c>
      <c r="F560" s="3">
        <v>948000</v>
      </c>
      <c r="G560" s="1">
        <v>0.2</v>
      </c>
      <c r="H560" s="3">
        <f t="shared" si="12"/>
        <v>758400</v>
      </c>
    </row>
    <row r="561" spans="1:8" x14ac:dyDescent="0.35">
      <c r="A561">
        <v>733577001</v>
      </c>
      <c r="B561" t="s">
        <v>177</v>
      </c>
      <c r="C561" t="s">
        <v>158</v>
      </c>
      <c r="D561" t="s">
        <v>64</v>
      </c>
      <c r="E561" t="s">
        <v>14</v>
      </c>
      <c r="F561" s="3">
        <v>2648000</v>
      </c>
      <c r="G561" s="1">
        <v>0.2</v>
      </c>
      <c r="H561" s="3">
        <f t="shared" si="12"/>
        <v>2118400</v>
      </c>
    </row>
    <row r="562" spans="1:8" x14ac:dyDescent="0.35">
      <c r="A562">
        <v>733577003</v>
      </c>
      <c r="B562" t="s">
        <v>176</v>
      </c>
      <c r="C562" t="s">
        <v>158</v>
      </c>
      <c r="D562" t="s">
        <v>64</v>
      </c>
      <c r="E562" t="s">
        <v>14</v>
      </c>
      <c r="F562" s="3">
        <v>2648000</v>
      </c>
      <c r="G562" s="1">
        <v>0.2</v>
      </c>
      <c r="H562" s="3">
        <f t="shared" si="12"/>
        <v>2118400</v>
      </c>
    </row>
    <row r="563" spans="1:8" x14ac:dyDescent="0.35">
      <c r="A563">
        <v>733577007</v>
      </c>
      <c r="B563" t="s">
        <v>175</v>
      </c>
      <c r="C563" t="s">
        <v>158</v>
      </c>
      <c r="D563" t="s">
        <v>64</v>
      </c>
      <c r="E563" t="s">
        <v>14</v>
      </c>
      <c r="F563" s="3">
        <v>2648000</v>
      </c>
      <c r="G563" s="1">
        <v>0.2</v>
      </c>
      <c r="H563" s="3">
        <f t="shared" si="12"/>
        <v>2118400</v>
      </c>
    </row>
    <row r="564" spans="1:8" x14ac:dyDescent="0.35">
      <c r="A564">
        <v>733577009</v>
      </c>
      <c r="B564" t="s">
        <v>945</v>
      </c>
      <c r="C564" t="s">
        <v>158</v>
      </c>
      <c r="D564" t="s">
        <v>64</v>
      </c>
      <c r="E564" t="s">
        <v>14</v>
      </c>
      <c r="F564" s="3">
        <v>3048000</v>
      </c>
      <c r="G564" s="1">
        <v>0.2</v>
      </c>
      <c r="H564" s="3">
        <f t="shared" si="12"/>
        <v>2438400</v>
      </c>
    </row>
    <row r="565" spans="1:8" x14ac:dyDescent="0.35">
      <c r="A565">
        <v>733578002</v>
      </c>
      <c r="B565" t="s">
        <v>946</v>
      </c>
      <c r="C565" t="s">
        <v>158</v>
      </c>
      <c r="D565" t="s">
        <v>64</v>
      </c>
      <c r="E565" t="s">
        <v>14</v>
      </c>
      <c r="F565" s="3">
        <v>1398000</v>
      </c>
      <c r="G565" s="1">
        <v>0.2</v>
      </c>
      <c r="H565" s="3">
        <f t="shared" si="12"/>
        <v>1118400</v>
      </c>
    </row>
    <row r="566" spans="1:8" x14ac:dyDescent="0.35">
      <c r="A566">
        <v>733578003</v>
      </c>
      <c r="B566" t="s">
        <v>185</v>
      </c>
      <c r="C566" t="s">
        <v>158</v>
      </c>
      <c r="D566" t="s">
        <v>64</v>
      </c>
      <c r="E566" t="s">
        <v>14</v>
      </c>
      <c r="F566" s="3">
        <v>1398000</v>
      </c>
      <c r="G566" s="1">
        <v>0.2</v>
      </c>
      <c r="H566" s="3">
        <f t="shared" si="12"/>
        <v>1118400</v>
      </c>
    </row>
    <row r="567" spans="1:8" x14ac:dyDescent="0.35">
      <c r="A567">
        <v>733578004</v>
      </c>
      <c r="B567" t="s">
        <v>184</v>
      </c>
      <c r="C567" t="s">
        <v>158</v>
      </c>
      <c r="D567" t="s">
        <v>64</v>
      </c>
      <c r="E567" t="s">
        <v>14</v>
      </c>
      <c r="F567" s="3">
        <v>1398000</v>
      </c>
      <c r="G567" s="1">
        <v>0.2</v>
      </c>
      <c r="H567" s="3">
        <f t="shared" si="12"/>
        <v>1118400</v>
      </c>
    </row>
    <row r="568" spans="1:8" x14ac:dyDescent="0.35">
      <c r="A568">
        <v>733578005</v>
      </c>
      <c r="B568" t="s">
        <v>947</v>
      </c>
      <c r="C568" t="s">
        <v>158</v>
      </c>
      <c r="D568" t="s">
        <v>64</v>
      </c>
      <c r="E568" t="s">
        <v>14</v>
      </c>
      <c r="F568" s="3">
        <v>1398000</v>
      </c>
      <c r="G568" s="1">
        <v>0.2</v>
      </c>
      <c r="H568" s="3">
        <f t="shared" si="12"/>
        <v>1118400</v>
      </c>
    </row>
    <row r="569" spans="1:8" x14ac:dyDescent="0.35">
      <c r="A569">
        <v>733578006</v>
      </c>
      <c r="B569" t="s">
        <v>186</v>
      </c>
      <c r="C569" t="s">
        <v>158</v>
      </c>
      <c r="D569" t="s">
        <v>64</v>
      </c>
      <c r="E569" t="s">
        <v>14</v>
      </c>
      <c r="F569" s="3">
        <v>1398000</v>
      </c>
      <c r="G569" s="1">
        <v>0.2</v>
      </c>
      <c r="H569" s="3">
        <f t="shared" si="12"/>
        <v>1118400</v>
      </c>
    </row>
    <row r="570" spans="1:8" x14ac:dyDescent="0.35">
      <c r="A570">
        <v>733579006</v>
      </c>
      <c r="B570" t="s">
        <v>189</v>
      </c>
      <c r="C570" t="s">
        <v>158</v>
      </c>
      <c r="D570" t="s">
        <v>64</v>
      </c>
      <c r="E570" t="s">
        <v>14</v>
      </c>
      <c r="F570" s="3">
        <v>1948000</v>
      </c>
      <c r="G570" s="1">
        <v>0.2</v>
      </c>
      <c r="H570" s="3">
        <f t="shared" si="12"/>
        <v>1558400</v>
      </c>
    </row>
    <row r="571" spans="1:8" x14ac:dyDescent="0.35">
      <c r="A571">
        <v>733579011</v>
      </c>
      <c r="B571" t="s">
        <v>187</v>
      </c>
      <c r="C571" t="s">
        <v>158</v>
      </c>
      <c r="D571" t="s">
        <v>64</v>
      </c>
      <c r="E571" t="s">
        <v>14</v>
      </c>
      <c r="F571" s="3">
        <v>1948000</v>
      </c>
      <c r="G571" s="1">
        <v>0.2</v>
      </c>
      <c r="H571" s="3">
        <f t="shared" si="12"/>
        <v>1558400</v>
      </c>
    </row>
    <row r="572" spans="1:8" x14ac:dyDescent="0.35">
      <c r="A572">
        <v>733579012</v>
      </c>
      <c r="B572" t="s">
        <v>188</v>
      </c>
      <c r="C572" t="s">
        <v>158</v>
      </c>
      <c r="D572" t="s">
        <v>64</v>
      </c>
      <c r="E572" t="s">
        <v>14</v>
      </c>
      <c r="F572" s="3">
        <v>1948000</v>
      </c>
      <c r="G572" s="1">
        <v>0.2</v>
      </c>
      <c r="H572" s="3">
        <f t="shared" si="12"/>
        <v>1558400</v>
      </c>
    </row>
    <row r="573" spans="1:8" x14ac:dyDescent="0.35">
      <c r="A573">
        <v>733580008</v>
      </c>
      <c r="B573" t="s">
        <v>192</v>
      </c>
      <c r="C573" t="s">
        <v>158</v>
      </c>
      <c r="D573" t="s">
        <v>64</v>
      </c>
      <c r="E573" t="s">
        <v>14</v>
      </c>
      <c r="F573" s="3">
        <v>1548000</v>
      </c>
      <c r="G573" s="1">
        <v>0.2</v>
      </c>
      <c r="H573" s="3">
        <f t="shared" si="12"/>
        <v>1238400</v>
      </c>
    </row>
    <row r="574" spans="1:8" x14ac:dyDescent="0.35">
      <c r="A574">
        <v>733580010</v>
      </c>
      <c r="B574" t="s">
        <v>948</v>
      </c>
      <c r="C574" t="s">
        <v>158</v>
      </c>
      <c r="D574" t="s">
        <v>64</v>
      </c>
      <c r="E574" t="s">
        <v>14</v>
      </c>
      <c r="F574" s="3">
        <v>1548000</v>
      </c>
      <c r="G574" s="1">
        <v>0.2</v>
      </c>
      <c r="H574" s="3">
        <f t="shared" si="12"/>
        <v>1238400</v>
      </c>
    </row>
    <row r="575" spans="1:8" x14ac:dyDescent="0.35">
      <c r="A575">
        <v>733580011</v>
      </c>
      <c r="B575" t="s">
        <v>191</v>
      </c>
      <c r="C575" t="s">
        <v>158</v>
      </c>
      <c r="D575" t="s">
        <v>64</v>
      </c>
      <c r="E575" t="s">
        <v>14</v>
      </c>
      <c r="F575" s="3">
        <v>1548000</v>
      </c>
      <c r="G575" s="1">
        <v>0.2</v>
      </c>
      <c r="H575" s="3">
        <f t="shared" si="12"/>
        <v>1238400</v>
      </c>
    </row>
    <row r="576" spans="1:8" x14ac:dyDescent="0.35">
      <c r="A576">
        <v>734931007</v>
      </c>
      <c r="B576" t="s">
        <v>190</v>
      </c>
      <c r="C576" t="s">
        <v>158</v>
      </c>
      <c r="D576" t="s">
        <v>64</v>
      </c>
      <c r="E576" t="s">
        <v>14</v>
      </c>
      <c r="F576" s="3">
        <v>1848000</v>
      </c>
      <c r="G576" s="1">
        <v>0.2</v>
      </c>
      <c r="H576" s="3">
        <f t="shared" si="12"/>
        <v>1478400</v>
      </c>
    </row>
    <row r="577" spans="1:8" x14ac:dyDescent="0.35">
      <c r="A577">
        <v>734931009</v>
      </c>
      <c r="B577" t="s">
        <v>949</v>
      </c>
      <c r="C577" t="s">
        <v>158</v>
      </c>
      <c r="D577" t="s">
        <v>64</v>
      </c>
      <c r="E577" t="s">
        <v>14</v>
      </c>
      <c r="F577" s="3">
        <v>1848000</v>
      </c>
      <c r="G577" s="1">
        <v>0.2</v>
      </c>
      <c r="H577" s="3">
        <f t="shared" si="12"/>
        <v>1478400</v>
      </c>
    </row>
    <row r="578" spans="1:8" x14ac:dyDescent="0.35">
      <c r="A578">
        <v>734931010</v>
      </c>
      <c r="B578" t="s">
        <v>950</v>
      </c>
      <c r="C578" t="s">
        <v>158</v>
      </c>
      <c r="D578" t="s">
        <v>64</v>
      </c>
      <c r="E578" t="s">
        <v>14</v>
      </c>
      <c r="F578" s="3">
        <v>1848000</v>
      </c>
      <c r="G578" s="1">
        <v>0.2</v>
      </c>
      <c r="H578" s="3">
        <f t="shared" si="12"/>
        <v>1478400</v>
      </c>
    </row>
    <row r="579" spans="1:8" x14ac:dyDescent="0.35">
      <c r="A579">
        <v>735828001</v>
      </c>
      <c r="B579" t="s">
        <v>179</v>
      </c>
      <c r="C579" t="s">
        <v>158</v>
      </c>
      <c r="D579" t="s">
        <v>64</v>
      </c>
      <c r="E579" t="s">
        <v>14</v>
      </c>
      <c r="F579" s="3">
        <v>2798000</v>
      </c>
      <c r="G579" s="1">
        <v>0.2</v>
      </c>
      <c r="H579" s="3">
        <f t="shared" si="12"/>
        <v>2238400</v>
      </c>
    </row>
    <row r="580" spans="1:8" x14ac:dyDescent="0.35">
      <c r="A580">
        <v>735828002</v>
      </c>
      <c r="B580" t="s">
        <v>181</v>
      </c>
      <c r="C580" t="s">
        <v>158</v>
      </c>
      <c r="D580" t="s">
        <v>64</v>
      </c>
      <c r="E580" t="s">
        <v>14</v>
      </c>
      <c r="F580" s="3">
        <v>2798000</v>
      </c>
      <c r="G580" s="1">
        <v>0.2</v>
      </c>
      <c r="H580" s="3">
        <f t="shared" si="12"/>
        <v>2238400</v>
      </c>
    </row>
    <row r="581" spans="1:8" x14ac:dyDescent="0.35">
      <c r="A581">
        <v>735828004</v>
      </c>
      <c r="B581" t="s">
        <v>178</v>
      </c>
      <c r="C581" t="s">
        <v>158</v>
      </c>
      <c r="D581" t="s">
        <v>64</v>
      </c>
      <c r="E581" t="s">
        <v>14</v>
      </c>
      <c r="F581" s="3">
        <v>2798000</v>
      </c>
      <c r="G581" s="1">
        <v>0.2</v>
      </c>
      <c r="H581" s="3">
        <f t="shared" si="12"/>
        <v>2238400</v>
      </c>
    </row>
    <row r="582" spans="1:8" x14ac:dyDescent="0.35">
      <c r="A582">
        <v>735828005</v>
      </c>
      <c r="B582" t="s">
        <v>180</v>
      </c>
      <c r="C582" t="s">
        <v>158</v>
      </c>
      <c r="D582" t="s">
        <v>64</v>
      </c>
      <c r="E582" t="s">
        <v>14</v>
      </c>
      <c r="F582" s="3">
        <v>2798000</v>
      </c>
      <c r="G582" s="1">
        <v>0.2</v>
      </c>
      <c r="H582" s="3">
        <f t="shared" si="12"/>
        <v>2238400</v>
      </c>
    </row>
    <row r="583" spans="1:8" x14ac:dyDescent="0.35">
      <c r="A583">
        <v>735936001</v>
      </c>
      <c r="B583" t="s">
        <v>196</v>
      </c>
      <c r="C583" t="s">
        <v>158</v>
      </c>
      <c r="D583" t="s">
        <v>64</v>
      </c>
      <c r="E583" t="s">
        <v>14</v>
      </c>
      <c r="F583" s="3">
        <v>948000</v>
      </c>
      <c r="G583" s="1">
        <v>0.2</v>
      </c>
      <c r="H583" s="3">
        <f t="shared" si="12"/>
        <v>758400</v>
      </c>
    </row>
    <row r="584" spans="1:8" x14ac:dyDescent="0.35">
      <c r="A584">
        <v>735936002</v>
      </c>
      <c r="B584" t="s">
        <v>951</v>
      </c>
      <c r="C584" t="s">
        <v>158</v>
      </c>
      <c r="D584" t="s">
        <v>64</v>
      </c>
      <c r="E584" t="s">
        <v>14</v>
      </c>
      <c r="F584" s="3">
        <v>948000</v>
      </c>
      <c r="G584" s="1">
        <v>0.2</v>
      </c>
      <c r="H584" s="3">
        <f t="shared" si="12"/>
        <v>758400</v>
      </c>
    </row>
    <row r="585" spans="1:8" x14ac:dyDescent="0.35">
      <c r="A585">
        <v>736888004</v>
      </c>
      <c r="B585" t="s">
        <v>952</v>
      </c>
      <c r="C585" t="s">
        <v>158</v>
      </c>
      <c r="D585" t="s">
        <v>64</v>
      </c>
      <c r="E585" t="s">
        <v>14</v>
      </c>
      <c r="F585" s="3">
        <v>3998000</v>
      </c>
      <c r="G585" s="1">
        <v>0.2</v>
      </c>
      <c r="H585" s="3">
        <f t="shared" si="12"/>
        <v>3198400</v>
      </c>
    </row>
    <row r="586" spans="1:8" x14ac:dyDescent="0.35">
      <c r="A586">
        <v>736888005</v>
      </c>
      <c r="B586" t="s">
        <v>953</v>
      </c>
      <c r="C586" t="s">
        <v>158</v>
      </c>
      <c r="D586" t="s">
        <v>64</v>
      </c>
      <c r="E586" t="s">
        <v>14</v>
      </c>
      <c r="F586" s="3">
        <v>3998000</v>
      </c>
      <c r="G586" s="1">
        <v>0.2</v>
      </c>
      <c r="H586" s="3">
        <f t="shared" si="12"/>
        <v>3198400</v>
      </c>
    </row>
    <row r="587" spans="1:8" x14ac:dyDescent="0.35">
      <c r="A587">
        <v>736888006</v>
      </c>
      <c r="B587" t="s">
        <v>198</v>
      </c>
      <c r="C587" t="s">
        <v>158</v>
      </c>
      <c r="D587" t="s">
        <v>64</v>
      </c>
      <c r="E587" t="s">
        <v>14</v>
      </c>
      <c r="F587" s="3">
        <v>3998000</v>
      </c>
      <c r="G587" s="1">
        <v>0.2</v>
      </c>
      <c r="H587" s="3">
        <f t="shared" si="12"/>
        <v>3198400</v>
      </c>
    </row>
    <row r="588" spans="1:8" x14ac:dyDescent="0.35">
      <c r="A588">
        <v>736888008</v>
      </c>
      <c r="B588" t="s">
        <v>954</v>
      </c>
      <c r="C588" t="s">
        <v>158</v>
      </c>
      <c r="D588" t="s">
        <v>64</v>
      </c>
      <c r="E588" t="s">
        <v>14</v>
      </c>
      <c r="F588" s="3">
        <v>3998000</v>
      </c>
      <c r="G588" s="1">
        <v>0.2</v>
      </c>
      <c r="H588" s="3">
        <f t="shared" si="12"/>
        <v>3198400</v>
      </c>
    </row>
    <row r="589" spans="1:8" x14ac:dyDescent="0.35">
      <c r="A589">
        <v>736888009</v>
      </c>
      <c r="B589" t="s">
        <v>955</v>
      </c>
      <c r="C589" t="s">
        <v>158</v>
      </c>
      <c r="D589" t="s">
        <v>64</v>
      </c>
      <c r="E589" t="s">
        <v>14</v>
      </c>
      <c r="F589" s="3">
        <v>3998000</v>
      </c>
      <c r="G589" s="1">
        <v>0.2</v>
      </c>
      <c r="H589" s="3">
        <f t="shared" si="12"/>
        <v>3198400</v>
      </c>
    </row>
    <row r="590" spans="1:8" x14ac:dyDescent="0.35">
      <c r="A590">
        <v>736888015</v>
      </c>
      <c r="B590" t="s">
        <v>956</v>
      </c>
      <c r="C590" t="s">
        <v>158</v>
      </c>
      <c r="D590" t="s">
        <v>64</v>
      </c>
      <c r="E590" t="s">
        <v>14</v>
      </c>
      <c r="F590" s="3">
        <v>3998000</v>
      </c>
      <c r="G590" s="1">
        <v>0.2</v>
      </c>
      <c r="H590" s="3">
        <f t="shared" si="12"/>
        <v>3198400</v>
      </c>
    </row>
    <row r="591" spans="1:8" x14ac:dyDescent="0.35">
      <c r="A591">
        <v>736888017</v>
      </c>
      <c r="B591" t="s">
        <v>197</v>
      </c>
      <c r="C591" t="s">
        <v>158</v>
      </c>
      <c r="D591" t="s">
        <v>64</v>
      </c>
      <c r="E591" t="s">
        <v>14</v>
      </c>
      <c r="F591" s="3">
        <v>3998000</v>
      </c>
      <c r="G591" s="1">
        <v>0.2</v>
      </c>
      <c r="H591" s="3">
        <f t="shared" si="12"/>
        <v>3198400</v>
      </c>
    </row>
    <row r="592" spans="1:8" x14ac:dyDescent="0.35">
      <c r="A592">
        <v>736889002</v>
      </c>
      <c r="B592" t="s">
        <v>957</v>
      </c>
      <c r="C592" t="s">
        <v>158</v>
      </c>
      <c r="D592" t="s">
        <v>64</v>
      </c>
      <c r="E592" t="s">
        <v>14</v>
      </c>
      <c r="F592" s="3">
        <v>1998000</v>
      </c>
      <c r="G592" s="1">
        <v>0.2</v>
      </c>
      <c r="H592" s="3">
        <f t="shared" si="12"/>
        <v>1598400</v>
      </c>
    </row>
    <row r="593" spans="1:8" x14ac:dyDescent="0.35">
      <c r="A593">
        <v>736889003</v>
      </c>
      <c r="B593" t="s">
        <v>958</v>
      </c>
      <c r="C593" t="s">
        <v>158</v>
      </c>
      <c r="D593" t="s">
        <v>64</v>
      </c>
      <c r="E593" t="s">
        <v>14</v>
      </c>
      <c r="F593" s="3">
        <v>1998000</v>
      </c>
      <c r="G593" s="1">
        <v>0.2</v>
      </c>
      <c r="H593" s="3">
        <f t="shared" si="12"/>
        <v>1598400</v>
      </c>
    </row>
    <row r="594" spans="1:8" x14ac:dyDescent="0.35">
      <c r="A594">
        <v>736889009</v>
      </c>
      <c r="B594" t="s">
        <v>959</v>
      </c>
      <c r="C594" t="s">
        <v>158</v>
      </c>
      <c r="D594" t="s">
        <v>64</v>
      </c>
      <c r="E594" t="s">
        <v>14</v>
      </c>
      <c r="F594" s="3">
        <v>1998000</v>
      </c>
      <c r="G594" s="1">
        <v>0.2</v>
      </c>
      <c r="H594" s="3">
        <f t="shared" si="12"/>
        <v>1598400</v>
      </c>
    </row>
    <row r="595" spans="1:8" x14ac:dyDescent="0.35">
      <c r="A595">
        <v>736889016</v>
      </c>
      <c r="B595" t="s">
        <v>960</v>
      </c>
      <c r="C595" t="s">
        <v>158</v>
      </c>
      <c r="D595" t="s">
        <v>64</v>
      </c>
      <c r="E595" t="s">
        <v>14</v>
      </c>
      <c r="F595" s="3">
        <v>1598000</v>
      </c>
      <c r="G595" s="1">
        <v>0.2</v>
      </c>
      <c r="H595" s="3">
        <f t="shared" si="12"/>
        <v>1278400</v>
      </c>
    </row>
    <row r="596" spans="1:8" x14ac:dyDescent="0.35">
      <c r="A596">
        <v>736889017</v>
      </c>
      <c r="B596" t="s">
        <v>961</v>
      </c>
      <c r="C596" t="s">
        <v>158</v>
      </c>
      <c r="D596" t="s">
        <v>64</v>
      </c>
      <c r="E596" t="s">
        <v>14</v>
      </c>
      <c r="F596" s="3">
        <v>1598000</v>
      </c>
      <c r="G596" s="1">
        <v>0.2</v>
      </c>
      <c r="H596" s="3">
        <f t="shared" si="12"/>
        <v>1278400</v>
      </c>
    </row>
    <row r="597" spans="1:8" x14ac:dyDescent="0.35">
      <c r="A597">
        <v>736889019</v>
      </c>
      <c r="B597" t="s">
        <v>962</v>
      </c>
      <c r="C597" t="s">
        <v>158</v>
      </c>
      <c r="D597" t="s">
        <v>64</v>
      </c>
      <c r="E597" t="s">
        <v>14</v>
      </c>
      <c r="F597" s="3">
        <v>1598000</v>
      </c>
      <c r="G597" s="1">
        <v>0.2</v>
      </c>
      <c r="H597" s="3">
        <f t="shared" si="12"/>
        <v>1278400</v>
      </c>
    </row>
    <row r="598" spans="1:8" x14ac:dyDescent="0.35">
      <c r="A598">
        <v>738105001</v>
      </c>
      <c r="B598" t="s">
        <v>963</v>
      </c>
      <c r="C598" t="s">
        <v>158</v>
      </c>
      <c r="D598" t="s">
        <v>64</v>
      </c>
      <c r="E598" t="s">
        <v>14</v>
      </c>
      <c r="F598" s="3">
        <v>3998000</v>
      </c>
      <c r="G598" s="1">
        <v>0.2</v>
      </c>
      <c r="H598" s="3">
        <f t="shared" ref="H598:H636" si="13">F598*(1-G598)</f>
        <v>3198400</v>
      </c>
    </row>
    <row r="599" spans="1:8" x14ac:dyDescent="0.35">
      <c r="A599">
        <v>738105002</v>
      </c>
      <c r="B599" t="s">
        <v>964</v>
      </c>
      <c r="C599" t="s">
        <v>158</v>
      </c>
      <c r="D599" t="s">
        <v>64</v>
      </c>
      <c r="E599" t="s">
        <v>14</v>
      </c>
      <c r="F599" s="3">
        <v>3998000</v>
      </c>
      <c r="G599" s="1">
        <v>0.2</v>
      </c>
      <c r="H599" s="3">
        <f t="shared" si="13"/>
        <v>3198400</v>
      </c>
    </row>
    <row r="600" spans="1:8" x14ac:dyDescent="0.35">
      <c r="A600">
        <v>738105003</v>
      </c>
      <c r="B600" t="s">
        <v>965</v>
      </c>
      <c r="C600" t="s">
        <v>158</v>
      </c>
      <c r="D600" t="s">
        <v>64</v>
      </c>
      <c r="E600" t="s">
        <v>14</v>
      </c>
      <c r="F600" s="3">
        <v>3998000</v>
      </c>
      <c r="G600" s="1">
        <v>0.2</v>
      </c>
      <c r="H600" s="3">
        <f t="shared" si="13"/>
        <v>3198400</v>
      </c>
    </row>
    <row r="601" spans="1:8" x14ac:dyDescent="0.35">
      <c r="A601">
        <v>738106001</v>
      </c>
      <c r="B601" t="s">
        <v>966</v>
      </c>
      <c r="C601" t="s">
        <v>158</v>
      </c>
      <c r="D601" t="s">
        <v>64</v>
      </c>
      <c r="E601" t="s">
        <v>14</v>
      </c>
      <c r="F601" s="3">
        <v>1598000</v>
      </c>
      <c r="G601" s="1">
        <v>0.2</v>
      </c>
      <c r="H601" s="3">
        <f t="shared" si="13"/>
        <v>1278400</v>
      </c>
    </row>
    <row r="602" spans="1:8" x14ac:dyDescent="0.35">
      <c r="A602">
        <v>738106003</v>
      </c>
      <c r="B602" t="s">
        <v>967</v>
      </c>
      <c r="C602" t="s">
        <v>158</v>
      </c>
      <c r="D602" t="s">
        <v>64</v>
      </c>
      <c r="E602" t="s">
        <v>14</v>
      </c>
      <c r="F602" s="3">
        <v>1598000</v>
      </c>
      <c r="G602" s="1">
        <v>0.2</v>
      </c>
      <c r="H602" s="3">
        <f t="shared" si="13"/>
        <v>1278400</v>
      </c>
    </row>
    <row r="603" spans="1:8" x14ac:dyDescent="0.35">
      <c r="A603">
        <v>728423008</v>
      </c>
      <c r="B603" t="s">
        <v>968</v>
      </c>
      <c r="C603" t="s">
        <v>368</v>
      </c>
      <c r="D603" t="s">
        <v>64</v>
      </c>
      <c r="E603" t="s">
        <v>14</v>
      </c>
      <c r="F603" s="3">
        <v>228000</v>
      </c>
      <c r="G603" s="1">
        <v>0.5</v>
      </c>
      <c r="H603" s="3">
        <f t="shared" si="13"/>
        <v>114000</v>
      </c>
    </row>
    <row r="604" spans="1:8" x14ac:dyDescent="0.35">
      <c r="A604">
        <v>728423017</v>
      </c>
      <c r="B604" t="s">
        <v>969</v>
      </c>
      <c r="C604" t="s">
        <v>368</v>
      </c>
      <c r="D604" t="s">
        <v>64</v>
      </c>
      <c r="E604" t="s">
        <v>14</v>
      </c>
      <c r="F604" s="3">
        <v>228000</v>
      </c>
      <c r="G604" s="1">
        <v>0.5</v>
      </c>
      <c r="H604" s="3">
        <f t="shared" si="13"/>
        <v>114000</v>
      </c>
    </row>
    <row r="605" spans="1:8" x14ac:dyDescent="0.35">
      <c r="A605">
        <v>728869001</v>
      </c>
      <c r="B605" t="s">
        <v>970</v>
      </c>
      <c r="C605" t="s">
        <v>368</v>
      </c>
      <c r="D605" t="s">
        <v>64</v>
      </c>
      <c r="E605" t="s">
        <v>14</v>
      </c>
      <c r="F605" s="3">
        <v>248000</v>
      </c>
      <c r="G605" s="1">
        <v>0.3</v>
      </c>
      <c r="H605" s="3">
        <f t="shared" si="13"/>
        <v>173600</v>
      </c>
    </row>
    <row r="606" spans="1:8" x14ac:dyDescent="0.35">
      <c r="A606">
        <v>728869002</v>
      </c>
      <c r="B606" t="s">
        <v>971</v>
      </c>
      <c r="C606" t="s">
        <v>368</v>
      </c>
      <c r="D606" t="s">
        <v>64</v>
      </c>
      <c r="E606" t="s">
        <v>14</v>
      </c>
      <c r="F606" s="3">
        <v>248000</v>
      </c>
      <c r="G606" s="1">
        <v>0.3</v>
      </c>
      <c r="H606" s="3">
        <f t="shared" si="13"/>
        <v>173600</v>
      </c>
    </row>
    <row r="607" spans="1:8" x14ac:dyDescent="0.35">
      <c r="A607">
        <v>732904003</v>
      </c>
      <c r="B607" t="s">
        <v>972</v>
      </c>
      <c r="C607" t="s">
        <v>368</v>
      </c>
      <c r="D607" t="s">
        <v>64</v>
      </c>
      <c r="E607" t="s">
        <v>14</v>
      </c>
      <c r="F607" s="3">
        <v>428000</v>
      </c>
      <c r="G607" s="1">
        <v>0.3</v>
      </c>
      <c r="H607" s="3">
        <f t="shared" si="13"/>
        <v>299600</v>
      </c>
    </row>
    <row r="608" spans="1:8" x14ac:dyDescent="0.35">
      <c r="A608">
        <v>732904005</v>
      </c>
      <c r="B608" t="s">
        <v>973</v>
      </c>
      <c r="C608" t="s">
        <v>368</v>
      </c>
      <c r="D608" t="s">
        <v>64</v>
      </c>
      <c r="E608" t="s">
        <v>14</v>
      </c>
      <c r="F608" s="3">
        <v>428000</v>
      </c>
      <c r="G608" s="1">
        <v>0.3</v>
      </c>
      <c r="H608" s="3">
        <f t="shared" si="13"/>
        <v>299600</v>
      </c>
    </row>
    <row r="609" spans="1:8" x14ac:dyDescent="0.35">
      <c r="A609">
        <v>732904006</v>
      </c>
      <c r="B609" t="s">
        <v>974</v>
      </c>
      <c r="C609" t="s">
        <v>368</v>
      </c>
      <c r="D609" t="s">
        <v>64</v>
      </c>
      <c r="E609" t="s">
        <v>14</v>
      </c>
      <c r="F609" s="3">
        <v>428000</v>
      </c>
      <c r="G609" s="1">
        <v>0.3</v>
      </c>
      <c r="H609" s="3">
        <f t="shared" si="13"/>
        <v>299600</v>
      </c>
    </row>
    <row r="610" spans="1:8" x14ac:dyDescent="0.35">
      <c r="A610">
        <v>732904007</v>
      </c>
      <c r="B610" t="s">
        <v>975</v>
      </c>
      <c r="C610" t="s">
        <v>368</v>
      </c>
      <c r="D610" t="s">
        <v>64</v>
      </c>
      <c r="E610" t="s">
        <v>14</v>
      </c>
      <c r="F610" s="3">
        <v>428000</v>
      </c>
      <c r="G610" s="1">
        <v>0.3</v>
      </c>
      <c r="H610" s="3">
        <f t="shared" si="13"/>
        <v>299600</v>
      </c>
    </row>
    <row r="611" spans="1:8" x14ac:dyDescent="0.35">
      <c r="A611">
        <v>732904009</v>
      </c>
      <c r="B611" t="s">
        <v>976</v>
      </c>
      <c r="C611" t="s">
        <v>368</v>
      </c>
      <c r="D611" t="s">
        <v>64</v>
      </c>
      <c r="E611" t="s">
        <v>14</v>
      </c>
      <c r="F611" s="3">
        <v>428000</v>
      </c>
      <c r="G611" s="1">
        <v>0.3</v>
      </c>
      <c r="H611" s="3">
        <f t="shared" si="13"/>
        <v>299600</v>
      </c>
    </row>
    <row r="612" spans="1:8" x14ac:dyDescent="0.35">
      <c r="A612">
        <v>732991001</v>
      </c>
      <c r="B612" t="s">
        <v>977</v>
      </c>
      <c r="C612" t="s">
        <v>368</v>
      </c>
      <c r="D612" t="s">
        <v>64</v>
      </c>
      <c r="E612" t="s">
        <v>14</v>
      </c>
      <c r="F612" s="3">
        <v>158000</v>
      </c>
      <c r="G612" s="1">
        <v>0.3</v>
      </c>
      <c r="H612" s="3">
        <f t="shared" si="13"/>
        <v>110600</v>
      </c>
    </row>
    <row r="613" spans="1:8" x14ac:dyDescent="0.35">
      <c r="A613">
        <v>732991002</v>
      </c>
      <c r="B613" t="s">
        <v>978</v>
      </c>
      <c r="C613" t="s">
        <v>368</v>
      </c>
      <c r="D613" t="s">
        <v>64</v>
      </c>
      <c r="E613" t="s">
        <v>14</v>
      </c>
      <c r="F613" s="3">
        <v>158000</v>
      </c>
      <c r="G613" s="1">
        <v>0.3</v>
      </c>
      <c r="H613" s="3">
        <f t="shared" si="13"/>
        <v>110600</v>
      </c>
    </row>
    <row r="614" spans="1:8" x14ac:dyDescent="0.35">
      <c r="A614">
        <v>735274001</v>
      </c>
      <c r="B614" t="s">
        <v>979</v>
      </c>
      <c r="C614" t="s">
        <v>368</v>
      </c>
      <c r="D614" t="s">
        <v>64</v>
      </c>
      <c r="E614" t="s">
        <v>14</v>
      </c>
      <c r="F614" s="3">
        <v>398000</v>
      </c>
      <c r="G614" s="1">
        <v>0.3</v>
      </c>
      <c r="H614" s="3">
        <f t="shared" si="13"/>
        <v>278600</v>
      </c>
    </row>
    <row r="615" spans="1:8" x14ac:dyDescent="0.35">
      <c r="A615">
        <v>735274005</v>
      </c>
      <c r="B615" t="s">
        <v>980</v>
      </c>
      <c r="C615" t="s">
        <v>368</v>
      </c>
      <c r="D615" t="s">
        <v>64</v>
      </c>
      <c r="E615" t="s">
        <v>14</v>
      </c>
      <c r="F615" s="3">
        <v>398000</v>
      </c>
      <c r="G615" s="1">
        <v>0.3</v>
      </c>
      <c r="H615" s="3">
        <f t="shared" si="13"/>
        <v>278600</v>
      </c>
    </row>
    <row r="616" spans="1:8" x14ac:dyDescent="0.35">
      <c r="A616">
        <v>735274006</v>
      </c>
      <c r="B616" t="s">
        <v>981</v>
      </c>
      <c r="C616" t="s">
        <v>368</v>
      </c>
      <c r="D616" t="s">
        <v>64</v>
      </c>
      <c r="E616" t="s">
        <v>14</v>
      </c>
      <c r="F616" s="3">
        <v>398000</v>
      </c>
      <c r="G616" s="1">
        <v>0.3</v>
      </c>
      <c r="H616" s="3">
        <f t="shared" si="13"/>
        <v>278600</v>
      </c>
    </row>
    <row r="617" spans="1:8" x14ac:dyDescent="0.35">
      <c r="A617">
        <v>729258003</v>
      </c>
      <c r="B617" t="s">
        <v>982</v>
      </c>
      <c r="C617" t="s">
        <v>89</v>
      </c>
      <c r="D617" t="s">
        <v>64</v>
      </c>
      <c r="E617" t="s">
        <v>14</v>
      </c>
      <c r="F617" s="3">
        <v>528000</v>
      </c>
      <c r="G617" s="1">
        <v>0.3</v>
      </c>
      <c r="H617" s="3">
        <f t="shared" si="13"/>
        <v>369600</v>
      </c>
    </row>
    <row r="618" spans="1:8" x14ac:dyDescent="0.35">
      <c r="A618">
        <v>729258007</v>
      </c>
      <c r="B618" t="s">
        <v>983</v>
      </c>
      <c r="C618" t="s">
        <v>89</v>
      </c>
      <c r="D618" t="s">
        <v>64</v>
      </c>
      <c r="E618" t="s">
        <v>14</v>
      </c>
      <c r="F618" s="3">
        <v>528000</v>
      </c>
      <c r="G618" s="1">
        <v>0.3</v>
      </c>
      <c r="H618" s="3">
        <f t="shared" si="13"/>
        <v>369600</v>
      </c>
    </row>
    <row r="619" spans="1:8" x14ac:dyDescent="0.35">
      <c r="A619">
        <v>729258008</v>
      </c>
      <c r="B619" t="s">
        <v>984</v>
      </c>
      <c r="C619" t="s">
        <v>89</v>
      </c>
      <c r="D619" t="s">
        <v>64</v>
      </c>
      <c r="E619" t="s">
        <v>14</v>
      </c>
      <c r="F619" s="3">
        <v>528000</v>
      </c>
      <c r="G619" s="1">
        <v>0.3</v>
      </c>
      <c r="H619" s="3">
        <f t="shared" si="13"/>
        <v>369600</v>
      </c>
    </row>
    <row r="620" spans="1:8" x14ac:dyDescent="0.35">
      <c r="A620">
        <v>729258009</v>
      </c>
      <c r="B620" t="s">
        <v>985</v>
      </c>
      <c r="C620" t="s">
        <v>89</v>
      </c>
      <c r="D620" t="s">
        <v>64</v>
      </c>
      <c r="E620" t="s">
        <v>14</v>
      </c>
      <c r="F620" s="3">
        <v>528000</v>
      </c>
      <c r="G620" s="1">
        <v>0.3</v>
      </c>
      <c r="H620" s="3">
        <f t="shared" si="13"/>
        <v>369600</v>
      </c>
    </row>
    <row r="621" spans="1:8" x14ac:dyDescent="0.35">
      <c r="A621">
        <v>732133001</v>
      </c>
      <c r="B621" t="s">
        <v>986</v>
      </c>
      <c r="C621" t="s">
        <v>89</v>
      </c>
      <c r="D621" t="s">
        <v>64</v>
      </c>
      <c r="E621" t="s">
        <v>14</v>
      </c>
      <c r="F621" s="3">
        <v>548000</v>
      </c>
      <c r="G621" s="1">
        <v>0.3</v>
      </c>
      <c r="H621" s="3">
        <f t="shared" si="13"/>
        <v>383600</v>
      </c>
    </row>
    <row r="622" spans="1:8" x14ac:dyDescent="0.35">
      <c r="A622">
        <v>732133002</v>
      </c>
      <c r="B622" t="s">
        <v>987</v>
      </c>
      <c r="C622" t="s">
        <v>89</v>
      </c>
      <c r="D622" t="s">
        <v>64</v>
      </c>
      <c r="E622" t="s">
        <v>14</v>
      </c>
      <c r="F622" s="3">
        <v>548000</v>
      </c>
      <c r="G622" s="1">
        <v>0.3</v>
      </c>
      <c r="H622" s="3">
        <f t="shared" si="13"/>
        <v>383600</v>
      </c>
    </row>
    <row r="623" spans="1:8" x14ac:dyDescent="0.35">
      <c r="A623">
        <v>732133003</v>
      </c>
      <c r="B623" t="s">
        <v>988</v>
      </c>
      <c r="C623" t="s">
        <v>89</v>
      </c>
      <c r="D623" t="s">
        <v>64</v>
      </c>
      <c r="E623" t="s">
        <v>14</v>
      </c>
      <c r="F623" s="3">
        <v>548000</v>
      </c>
      <c r="G623" s="1">
        <v>0.3</v>
      </c>
      <c r="H623" s="3">
        <f t="shared" si="13"/>
        <v>383600</v>
      </c>
    </row>
    <row r="624" spans="1:8" x14ac:dyDescent="0.35">
      <c r="A624">
        <v>732133004</v>
      </c>
      <c r="B624" t="s">
        <v>989</v>
      </c>
      <c r="C624" t="s">
        <v>89</v>
      </c>
      <c r="D624" t="s">
        <v>64</v>
      </c>
      <c r="E624" t="s">
        <v>14</v>
      </c>
      <c r="F624" s="3">
        <v>548000</v>
      </c>
      <c r="G624" s="1">
        <v>0.3</v>
      </c>
      <c r="H624" s="3">
        <f t="shared" si="13"/>
        <v>383600</v>
      </c>
    </row>
    <row r="625" spans="1:8" x14ac:dyDescent="0.35">
      <c r="A625">
        <v>732133005</v>
      </c>
      <c r="B625" t="s">
        <v>990</v>
      </c>
      <c r="C625" t="s">
        <v>89</v>
      </c>
      <c r="D625" t="s">
        <v>64</v>
      </c>
      <c r="E625" t="s">
        <v>14</v>
      </c>
      <c r="F625" s="3">
        <v>548000</v>
      </c>
      <c r="G625" s="1">
        <v>0.3</v>
      </c>
      <c r="H625" s="3">
        <f t="shared" si="13"/>
        <v>383600</v>
      </c>
    </row>
    <row r="626" spans="1:8" x14ac:dyDescent="0.35">
      <c r="A626">
        <v>732133006</v>
      </c>
      <c r="B626" t="s">
        <v>991</v>
      </c>
      <c r="C626" t="s">
        <v>89</v>
      </c>
      <c r="D626" t="s">
        <v>64</v>
      </c>
      <c r="E626" t="s">
        <v>14</v>
      </c>
      <c r="F626" s="3">
        <v>548000</v>
      </c>
      <c r="G626" s="1">
        <v>0.3</v>
      </c>
      <c r="H626" s="3">
        <f t="shared" si="13"/>
        <v>383600</v>
      </c>
    </row>
    <row r="627" spans="1:8" x14ac:dyDescent="0.35">
      <c r="A627">
        <v>732133007</v>
      </c>
      <c r="B627" t="s">
        <v>992</v>
      </c>
      <c r="C627" t="s">
        <v>89</v>
      </c>
      <c r="D627" t="s">
        <v>64</v>
      </c>
      <c r="E627" t="s">
        <v>14</v>
      </c>
      <c r="F627" s="3">
        <v>548000</v>
      </c>
      <c r="G627" s="1">
        <v>0.3</v>
      </c>
      <c r="H627" s="3">
        <f t="shared" si="13"/>
        <v>383600</v>
      </c>
    </row>
    <row r="628" spans="1:8" x14ac:dyDescent="0.35">
      <c r="A628">
        <v>732134001</v>
      </c>
      <c r="B628" t="s">
        <v>993</v>
      </c>
      <c r="C628" t="s">
        <v>89</v>
      </c>
      <c r="D628" t="s">
        <v>64</v>
      </c>
      <c r="E628" t="s">
        <v>14</v>
      </c>
      <c r="F628" s="3">
        <v>298000</v>
      </c>
      <c r="G628" s="1">
        <v>0.3</v>
      </c>
      <c r="H628" s="3">
        <f t="shared" si="13"/>
        <v>208600</v>
      </c>
    </row>
    <row r="629" spans="1:8" x14ac:dyDescent="0.35">
      <c r="A629">
        <v>732134002</v>
      </c>
      <c r="B629" t="s">
        <v>994</v>
      </c>
      <c r="C629" t="s">
        <v>89</v>
      </c>
      <c r="D629" t="s">
        <v>64</v>
      </c>
      <c r="E629" t="s">
        <v>14</v>
      </c>
      <c r="F629" s="3">
        <v>298000</v>
      </c>
      <c r="G629" s="1">
        <v>0.3</v>
      </c>
      <c r="H629" s="3">
        <f t="shared" si="13"/>
        <v>208600</v>
      </c>
    </row>
    <row r="630" spans="1:8" x14ac:dyDescent="0.35">
      <c r="A630">
        <v>732134003</v>
      </c>
      <c r="B630" t="s">
        <v>995</v>
      </c>
      <c r="C630" t="s">
        <v>89</v>
      </c>
      <c r="D630" t="s">
        <v>64</v>
      </c>
      <c r="E630" t="s">
        <v>14</v>
      </c>
      <c r="F630" s="3">
        <v>298000</v>
      </c>
      <c r="G630" s="1">
        <v>0.3</v>
      </c>
      <c r="H630" s="3">
        <f t="shared" si="13"/>
        <v>208600</v>
      </c>
    </row>
    <row r="631" spans="1:8" x14ac:dyDescent="0.35">
      <c r="A631">
        <v>732134004</v>
      </c>
      <c r="B631" t="s">
        <v>996</v>
      </c>
      <c r="C631" t="s">
        <v>89</v>
      </c>
      <c r="D631" t="s">
        <v>64</v>
      </c>
      <c r="E631" t="s">
        <v>14</v>
      </c>
      <c r="F631" s="3">
        <v>298000</v>
      </c>
      <c r="G631" s="1">
        <v>0.3</v>
      </c>
      <c r="H631" s="3">
        <f t="shared" si="13"/>
        <v>208600</v>
      </c>
    </row>
    <row r="632" spans="1:8" x14ac:dyDescent="0.35">
      <c r="A632">
        <v>732134005</v>
      </c>
      <c r="B632" t="s">
        <v>997</v>
      </c>
      <c r="C632" t="s">
        <v>89</v>
      </c>
      <c r="D632" t="s">
        <v>64</v>
      </c>
      <c r="E632" t="s">
        <v>14</v>
      </c>
      <c r="F632" s="3">
        <v>298000</v>
      </c>
      <c r="G632" s="1">
        <v>0.3</v>
      </c>
      <c r="H632" s="3">
        <f t="shared" si="13"/>
        <v>208600</v>
      </c>
    </row>
    <row r="633" spans="1:8" x14ac:dyDescent="0.35">
      <c r="A633">
        <v>732134006</v>
      </c>
      <c r="B633" t="s">
        <v>998</v>
      </c>
      <c r="C633" t="s">
        <v>89</v>
      </c>
      <c r="D633" t="s">
        <v>64</v>
      </c>
      <c r="E633" t="s">
        <v>14</v>
      </c>
      <c r="F633" s="3">
        <v>298000</v>
      </c>
      <c r="G633" s="1">
        <v>0.3</v>
      </c>
      <c r="H633" s="3">
        <f t="shared" si="13"/>
        <v>208600</v>
      </c>
    </row>
    <row r="634" spans="1:8" x14ac:dyDescent="0.35">
      <c r="A634">
        <v>732370001</v>
      </c>
      <c r="B634" t="s">
        <v>999</v>
      </c>
      <c r="C634" t="s">
        <v>89</v>
      </c>
      <c r="D634" t="s">
        <v>64</v>
      </c>
      <c r="E634" t="s">
        <v>14</v>
      </c>
      <c r="F634" s="3">
        <v>448000</v>
      </c>
      <c r="G634" s="1">
        <v>0.3</v>
      </c>
      <c r="H634" s="3">
        <f t="shared" si="13"/>
        <v>313600</v>
      </c>
    </row>
    <row r="635" spans="1:8" x14ac:dyDescent="0.35">
      <c r="A635">
        <v>732370002</v>
      </c>
      <c r="B635" t="s">
        <v>1000</v>
      </c>
      <c r="C635" t="s">
        <v>89</v>
      </c>
      <c r="D635" t="s">
        <v>64</v>
      </c>
      <c r="E635" t="s">
        <v>14</v>
      </c>
      <c r="F635" s="3">
        <v>448000</v>
      </c>
      <c r="G635" s="1">
        <v>0.3</v>
      </c>
      <c r="H635" s="3">
        <f t="shared" si="13"/>
        <v>313600</v>
      </c>
    </row>
    <row r="636" spans="1:8" x14ac:dyDescent="0.35">
      <c r="A636">
        <v>732370004</v>
      </c>
      <c r="B636" t="s">
        <v>1001</v>
      </c>
      <c r="C636" t="s">
        <v>89</v>
      </c>
      <c r="D636" t="s">
        <v>64</v>
      </c>
      <c r="E636" t="s">
        <v>14</v>
      </c>
      <c r="F636" s="3">
        <v>448000</v>
      </c>
      <c r="G636" s="1">
        <v>0.3</v>
      </c>
      <c r="H636" s="3">
        <f t="shared" si="13"/>
        <v>313600</v>
      </c>
    </row>
    <row r="637" spans="1:8" x14ac:dyDescent="0.35">
      <c r="A637">
        <v>200448001</v>
      </c>
      <c r="B637" t="s">
        <v>1002</v>
      </c>
      <c r="C637" t="s">
        <v>368</v>
      </c>
      <c r="D637" t="s">
        <v>392</v>
      </c>
      <c r="E637" t="s">
        <v>14</v>
      </c>
      <c r="F637" s="3">
        <v>148000</v>
      </c>
      <c r="G637" s="3">
        <v>78000</v>
      </c>
      <c r="H637" s="4">
        <f>G637</f>
        <v>78000</v>
      </c>
    </row>
    <row r="638" spans="1:8" x14ac:dyDescent="0.35">
      <c r="A638">
        <v>705590001</v>
      </c>
      <c r="B638" t="s">
        <v>1003</v>
      </c>
      <c r="C638" t="s">
        <v>368</v>
      </c>
      <c r="D638" t="s">
        <v>392</v>
      </c>
      <c r="E638" t="s">
        <v>14</v>
      </c>
      <c r="F638" s="3">
        <v>35000</v>
      </c>
      <c r="G638" s="3">
        <v>25000</v>
      </c>
      <c r="H638" s="4">
        <f>G638</f>
        <v>25000</v>
      </c>
    </row>
    <row r="639" spans="1:8" x14ac:dyDescent="0.35">
      <c r="A639">
        <v>705591001</v>
      </c>
      <c r="B639" t="s">
        <v>1004</v>
      </c>
      <c r="C639" t="s">
        <v>368</v>
      </c>
      <c r="D639" t="s">
        <v>392</v>
      </c>
      <c r="E639" t="s">
        <v>14</v>
      </c>
      <c r="F639" s="3">
        <v>45000</v>
      </c>
      <c r="G639" s="3">
        <v>35000</v>
      </c>
      <c r="H639" s="4">
        <f>G639</f>
        <v>35000</v>
      </c>
    </row>
    <row r="640" spans="1:8" x14ac:dyDescent="0.35">
      <c r="A640">
        <v>708183001</v>
      </c>
      <c r="B640" t="s">
        <v>1005</v>
      </c>
      <c r="C640" t="s">
        <v>368</v>
      </c>
      <c r="D640" t="s">
        <v>392</v>
      </c>
      <c r="E640" t="s">
        <v>14</v>
      </c>
      <c r="F640" s="3">
        <v>45000</v>
      </c>
      <c r="G640" s="3">
        <v>35000</v>
      </c>
      <c r="H640" s="4">
        <f>G640</f>
        <v>35000</v>
      </c>
    </row>
    <row r="641" spans="1:8" x14ac:dyDescent="0.35">
      <c r="A641">
        <v>721622001</v>
      </c>
      <c r="B641" t="s">
        <v>1006</v>
      </c>
      <c r="C641" t="s">
        <v>368</v>
      </c>
      <c r="D641" t="s">
        <v>392</v>
      </c>
      <c r="E641" t="s">
        <v>14</v>
      </c>
      <c r="F641" s="3">
        <v>79000</v>
      </c>
      <c r="G641" s="3">
        <v>59000</v>
      </c>
      <c r="H641" s="4">
        <f>G641</f>
        <v>59000</v>
      </c>
    </row>
    <row r="642" spans="1:8" x14ac:dyDescent="0.35">
      <c r="A642">
        <v>724357002</v>
      </c>
      <c r="B642" t="s">
        <v>1007</v>
      </c>
      <c r="C642" t="s">
        <v>92</v>
      </c>
      <c r="D642" t="s">
        <v>392</v>
      </c>
      <c r="E642" t="s">
        <v>14</v>
      </c>
      <c r="F642" s="3">
        <v>89000</v>
      </c>
      <c r="G642" s="1">
        <v>0.5</v>
      </c>
      <c r="H642" s="3">
        <f t="shared" ref="H642:H705" si="14">F642*(1-G642)</f>
        <v>44500</v>
      </c>
    </row>
    <row r="643" spans="1:8" x14ac:dyDescent="0.35">
      <c r="A643">
        <v>728247001</v>
      </c>
      <c r="B643" t="s">
        <v>1008</v>
      </c>
      <c r="C643" t="s">
        <v>92</v>
      </c>
      <c r="D643" t="s">
        <v>392</v>
      </c>
      <c r="E643" t="s">
        <v>14</v>
      </c>
      <c r="F643" s="3">
        <v>1598000</v>
      </c>
      <c r="G643" s="1">
        <v>0.5</v>
      </c>
      <c r="H643" s="3">
        <f t="shared" si="14"/>
        <v>799000</v>
      </c>
    </row>
    <row r="644" spans="1:8" x14ac:dyDescent="0.35">
      <c r="A644">
        <v>728836001</v>
      </c>
      <c r="B644" t="s">
        <v>1009</v>
      </c>
      <c r="C644" t="s">
        <v>92</v>
      </c>
      <c r="D644" t="s">
        <v>392</v>
      </c>
      <c r="E644" t="s">
        <v>14</v>
      </c>
      <c r="F644" s="3">
        <v>94000</v>
      </c>
      <c r="G644" s="1">
        <v>0.5</v>
      </c>
      <c r="H644" s="3">
        <f t="shared" si="14"/>
        <v>47000</v>
      </c>
    </row>
    <row r="645" spans="1:8" x14ac:dyDescent="0.35">
      <c r="A645">
        <v>730032001</v>
      </c>
      <c r="B645" t="s">
        <v>1010</v>
      </c>
      <c r="C645" t="s">
        <v>92</v>
      </c>
      <c r="D645" t="s">
        <v>392</v>
      </c>
      <c r="F645" s="3">
        <v>598000</v>
      </c>
      <c r="G645" s="1">
        <v>0.5</v>
      </c>
      <c r="H645" s="3">
        <f t="shared" si="14"/>
        <v>299000</v>
      </c>
    </row>
    <row r="646" spans="1:8" x14ac:dyDescent="0.35">
      <c r="A646">
        <v>730034001</v>
      </c>
      <c r="B646" t="s">
        <v>1011</v>
      </c>
      <c r="C646" t="s">
        <v>92</v>
      </c>
      <c r="D646" t="s">
        <v>392</v>
      </c>
      <c r="F646" s="3">
        <v>698000</v>
      </c>
      <c r="G646" s="1">
        <v>0.5</v>
      </c>
      <c r="H646" s="3">
        <f t="shared" si="14"/>
        <v>349000</v>
      </c>
    </row>
    <row r="647" spans="1:8" x14ac:dyDescent="0.35">
      <c r="A647">
        <v>730037001</v>
      </c>
      <c r="B647" t="s">
        <v>1012</v>
      </c>
      <c r="C647" t="s">
        <v>92</v>
      </c>
      <c r="D647" t="s">
        <v>392</v>
      </c>
      <c r="F647" s="3">
        <v>328000</v>
      </c>
      <c r="G647" s="1">
        <v>0.5</v>
      </c>
      <c r="H647" s="3">
        <f t="shared" si="14"/>
        <v>164000</v>
      </c>
    </row>
    <row r="648" spans="1:8" x14ac:dyDescent="0.35">
      <c r="A648">
        <v>730039001</v>
      </c>
      <c r="B648" t="s">
        <v>1013</v>
      </c>
      <c r="C648" t="s">
        <v>92</v>
      </c>
      <c r="D648" t="s">
        <v>392</v>
      </c>
      <c r="F648" s="3">
        <v>428000</v>
      </c>
      <c r="G648" s="1">
        <v>0.5</v>
      </c>
      <c r="H648" s="3">
        <f t="shared" si="14"/>
        <v>214000</v>
      </c>
    </row>
    <row r="649" spans="1:8" x14ac:dyDescent="0.35">
      <c r="A649">
        <v>730251001</v>
      </c>
      <c r="B649" t="s">
        <v>1014</v>
      </c>
      <c r="C649" t="s">
        <v>92</v>
      </c>
      <c r="D649" t="s">
        <v>392</v>
      </c>
      <c r="E649" t="s">
        <v>14</v>
      </c>
      <c r="F649" s="3">
        <v>2948000</v>
      </c>
      <c r="G649" s="1">
        <v>0.7</v>
      </c>
      <c r="H649" s="3">
        <f t="shared" si="14"/>
        <v>884400.00000000012</v>
      </c>
    </row>
    <row r="650" spans="1:8" x14ac:dyDescent="0.35">
      <c r="A650">
        <v>731967001</v>
      </c>
      <c r="B650" t="s">
        <v>1015</v>
      </c>
      <c r="C650" t="s">
        <v>92</v>
      </c>
      <c r="D650" t="s">
        <v>392</v>
      </c>
      <c r="E650" t="s">
        <v>14</v>
      </c>
      <c r="F650" s="3">
        <v>2948000</v>
      </c>
      <c r="G650" s="1">
        <v>0.7</v>
      </c>
      <c r="H650" s="3">
        <f t="shared" si="14"/>
        <v>884400.00000000012</v>
      </c>
    </row>
    <row r="651" spans="1:8" x14ac:dyDescent="0.35">
      <c r="A651">
        <v>732088001</v>
      </c>
      <c r="B651" t="s">
        <v>1016</v>
      </c>
      <c r="C651" t="s">
        <v>92</v>
      </c>
      <c r="D651" t="s">
        <v>392</v>
      </c>
      <c r="E651" t="s">
        <v>14</v>
      </c>
      <c r="F651" s="3">
        <v>428000</v>
      </c>
      <c r="G651" s="1">
        <v>0.5</v>
      </c>
      <c r="H651" s="3">
        <f t="shared" si="14"/>
        <v>214000</v>
      </c>
    </row>
    <row r="652" spans="1:8" x14ac:dyDescent="0.35">
      <c r="A652">
        <v>732089001</v>
      </c>
      <c r="B652" t="s">
        <v>1017</v>
      </c>
      <c r="C652" t="s">
        <v>92</v>
      </c>
      <c r="D652" t="s">
        <v>392</v>
      </c>
      <c r="E652" t="s">
        <v>14</v>
      </c>
      <c r="F652" s="3">
        <v>348000</v>
      </c>
      <c r="G652" s="1">
        <v>0.5</v>
      </c>
      <c r="H652" s="3">
        <f t="shared" si="14"/>
        <v>174000</v>
      </c>
    </row>
    <row r="653" spans="1:8" x14ac:dyDescent="0.35">
      <c r="A653">
        <v>732090001</v>
      </c>
      <c r="B653" t="s">
        <v>1018</v>
      </c>
      <c r="C653" t="s">
        <v>92</v>
      </c>
      <c r="D653" t="s">
        <v>392</v>
      </c>
      <c r="F653" s="3">
        <v>198000</v>
      </c>
      <c r="G653" s="1">
        <v>0.5</v>
      </c>
      <c r="H653" s="3">
        <f t="shared" si="14"/>
        <v>99000</v>
      </c>
    </row>
    <row r="654" spans="1:8" x14ac:dyDescent="0.35">
      <c r="A654">
        <v>732091001</v>
      </c>
      <c r="B654" t="s">
        <v>1019</v>
      </c>
      <c r="C654" t="s">
        <v>92</v>
      </c>
      <c r="D654" t="s">
        <v>392</v>
      </c>
      <c r="E654" t="s">
        <v>14</v>
      </c>
      <c r="F654" s="3">
        <v>248000</v>
      </c>
      <c r="G654" s="1">
        <v>0.5</v>
      </c>
      <c r="H654" s="3">
        <f t="shared" si="14"/>
        <v>124000</v>
      </c>
    </row>
    <row r="655" spans="1:8" x14ac:dyDescent="0.35">
      <c r="A655">
        <v>732192001</v>
      </c>
      <c r="B655" t="s">
        <v>1020</v>
      </c>
      <c r="C655" t="s">
        <v>92</v>
      </c>
      <c r="D655" t="s">
        <v>392</v>
      </c>
      <c r="E655" t="s">
        <v>14</v>
      </c>
      <c r="F655" s="3">
        <v>428000</v>
      </c>
      <c r="G655" s="1">
        <v>0.5</v>
      </c>
      <c r="H655" s="3">
        <f t="shared" si="14"/>
        <v>214000</v>
      </c>
    </row>
    <row r="656" spans="1:8" x14ac:dyDescent="0.35">
      <c r="A656">
        <v>732193001</v>
      </c>
      <c r="B656" t="s">
        <v>1021</v>
      </c>
      <c r="C656" t="s">
        <v>92</v>
      </c>
      <c r="D656" t="s">
        <v>392</v>
      </c>
      <c r="E656" t="s">
        <v>14</v>
      </c>
      <c r="F656" s="3">
        <v>428000</v>
      </c>
      <c r="G656" s="1">
        <v>0.5</v>
      </c>
      <c r="H656" s="3">
        <f t="shared" si="14"/>
        <v>214000</v>
      </c>
    </row>
    <row r="657" spans="1:8" x14ac:dyDescent="0.35">
      <c r="A657">
        <v>732194001</v>
      </c>
      <c r="B657" t="s">
        <v>1022</v>
      </c>
      <c r="C657" t="s">
        <v>92</v>
      </c>
      <c r="D657" t="s">
        <v>392</v>
      </c>
      <c r="F657" s="3">
        <v>398000</v>
      </c>
      <c r="G657" s="1">
        <v>0.5</v>
      </c>
      <c r="H657" s="3">
        <f t="shared" si="14"/>
        <v>199000</v>
      </c>
    </row>
    <row r="658" spans="1:8" x14ac:dyDescent="0.35">
      <c r="A658">
        <v>732195001</v>
      </c>
      <c r="B658" t="s">
        <v>1023</v>
      </c>
      <c r="C658" t="s">
        <v>92</v>
      </c>
      <c r="D658" t="s">
        <v>392</v>
      </c>
      <c r="E658" t="s">
        <v>14</v>
      </c>
      <c r="F658" s="3">
        <v>398000</v>
      </c>
      <c r="G658" s="1">
        <v>0.5</v>
      </c>
      <c r="H658" s="3">
        <f t="shared" si="14"/>
        <v>199000</v>
      </c>
    </row>
    <row r="659" spans="1:8" x14ac:dyDescent="0.35">
      <c r="A659">
        <v>732804001</v>
      </c>
      <c r="B659" t="s">
        <v>1024</v>
      </c>
      <c r="C659" t="s">
        <v>92</v>
      </c>
      <c r="D659" t="s">
        <v>392</v>
      </c>
      <c r="F659" s="3">
        <v>398000</v>
      </c>
      <c r="G659" s="1">
        <v>0.5</v>
      </c>
      <c r="H659" s="3">
        <f t="shared" si="14"/>
        <v>199000</v>
      </c>
    </row>
    <row r="660" spans="1:8" x14ac:dyDescent="0.35">
      <c r="A660">
        <v>732805001</v>
      </c>
      <c r="B660" t="s">
        <v>1025</v>
      </c>
      <c r="C660" t="s">
        <v>92</v>
      </c>
      <c r="D660" t="s">
        <v>392</v>
      </c>
      <c r="E660" t="s">
        <v>14</v>
      </c>
      <c r="F660" s="3">
        <v>398000</v>
      </c>
      <c r="G660" s="1">
        <v>0.5</v>
      </c>
      <c r="H660" s="3">
        <f t="shared" si="14"/>
        <v>199000</v>
      </c>
    </row>
    <row r="661" spans="1:8" x14ac:dyDescent="0.35">
      <c r="A661">
        <v>733377001</v>
      </c>
      <c r="B661" t="s">
        <v>1026</v>
      </c>
      <c r="C661" t="s">
        <v>92</v>
      </c>
      <c r="D661" t="s">
        <v>392</v>
      </c>
      <c r="E661" t="s">
        <v>14</v>
      </c>
      <c r="F661" s="3">
        <v>498000</v>
      </c>
      <c r="G661" s="1">
        <v>0.5</v>
      </c>
      <c r="H661" s="3">
        <f t="shared" si="14"/>
        <v>249000</v>
      </c>
    </row>
    <row r="662" spans="1:8" x14ac:dyDescent="0.35">
      <c r="A662">
        <v>732485001</v>
      </c>
      <c r="B662" t="s">
        <v>1027</v>
      </c>
      <c r="C662" t="s">
        <v>368</v>
      </c>
      <c r="D662" t="s">
        <v>29</v>
      </c>
      <c r="E662" t="s">
        <v>14</v>
      </c>
      <c r="F662" s="3">
        <v>528000</v>
      </c>
      <c r="G662" s="1">
        <v>0.5</v>
      </c>
      <c r="H662" s="3">
        <f t="shared" si="14"/>
        <v>264000</v>
      </c>
    </row>
    <row r="663" spans="1:8" x14ac:dyDescent="0.35">
      <c r="A663">
        <v>732485007</v>
      </c>
      <c r="B663" t="s">
        <v>1028</v>
      </c>
      <c r="C663" t="s">
        <v>368</v>
      </c>
      <c r="D663" t="s">
        <v>29</v>
      </c>
      <c r="E663" t="s">
        <v>14</v>
      </c>
      <c r="F663" s="3">
        <v>528000</v>
      </c>
      <c r="G663" s="1">
        <v>0.5</v>
      </c>
      <c r="H663" s="3">
        <f t="shared" si="14"/>
        <v>264000</v>
      </c>
    </row>
    <row r="664" spans="1:8" x14ac:dyDescent="0.35">
      <c r="A664">
        <v>733007012</v>
      </c>
      <c r="B664" t="s">
        <v>1029</v>
      </c>
      <c r="C664" t="s">
        <v>368</v>
      </c>
      <c r="D664" t="s">
        <v>29</v>
      </c>
      <c r="E664" t="s">
        <v>14</v>
      </c>
      <c r="F664" s="3">
        <v>348000</v>
      </c>
      <c r="G664" s="1">
        <v>0.5</v>
      </c>
      <c r="H664" s="3">
        <f t="shared" si="14"/>
        <v>174000</v>
      </c>
    </row>
    <row r="665" spans="1:8" x14ac:dyDescent="0.35">
      <c r="A665">
        <v>733009010</v>
      </c>
      <c r="B665" t="s">
        <v>1030</v>
      </c>
      <c r="C665" t="s">
        <v>368</v>
      </c>
      <c r="D665" t="s">
        <v>29</v>
      </c>
      <c r="E665" t="s">
        <v>14</v>
      </c>
      <c r="F665" s="3">
        <v>428000</v>
      </c>
      <c r="G665" s="1">
        <v>0.5</v>
      </c>
      <c r="H665" s="3">
        <f t="shared" si="14"/>
        <v>214000</v>
      </c>
    </row>
    <row r="666" spans="1:8" x14ac:dyDescent="0.35">
      <c r="A666">
        <v>735140012</v>
      </c>
      <c r="B666" t="s">
        <v>1031</v>
      </c>
      <c r="C666" t="s">
        <v>368</v>
      </c>
      <c r="D666" t="s">
        <v>29</v>
      </c>
      <c r="E666" t="s">
        <v>14</v>
      </c>
      <c r="F666" s="3">
        <v>548000</v>
      </c>
      <c r="G666" s="1">
        <v>0.5</v>
      </c>
      <c r="H666" s="3">
        <f t="shared" si="14"/>
        <v>274000</v>
      </c>
    </row>
    <row r="667" spans="1:8" x14ac:dyDescent="0.35">
      <c r="A667">
        <v>735140016</v>
      </c>
      <c r="B667" t="s">
        <v>1032</v>
      </c>
      <c r="C667" t="s">
        <v>368</v>
      </c>
      <c r="D667" t="s">
        <v>29</v>
      </c>
      <c r="E667" t="s">
        <v>14</v>
      </c>
      <c r="F667" s="3">
        <v>548000</v>
      </c>
      <c r="G667" s="1">
        <v>0.5</v>
      </c>
      <c r="H667" s="3">
        <f t="shared" si="14"/>
        <v>274000</v>
      </c>
    </row>
    <row r="668" spans="1:8" x14ac:dyDescent="0.35">
      <c r="A668">
        <v>735140019</v>
      </c>
      <c r="B668" t="s">
        <v>1033</v>
      </c>
      <c r="C668" t="s">
        <v>368</v>
      </c>
      <c r="D668" t="s">
        <v>29</v>
      </c>
      <c r="E668" t="s">
        <v>14</v>
      </c>
      <c r="F668" s="3">
        <v>548000</v>
      </c>
      <c r="G668" s="1">
        <v>0.5</v>
      </c>
      <c r="H668" s="3">
        <f t="shared" si="14"/>
        <v>274000</v>
      </c>
    </row>
    <row r="669" spans="1:8" x14ac:dyDescent="0.35">
      <c r="A669">
        <v>735141005</v>
      </c>
      <c r="B669" t="s">
        <v>1034</v>
      </c>
      <c r="C669" t="s">
        <v>368</v>
      </c>
      <c r="D669" t="s">
        <v>29</v>
      </c>
      <c r="E669" t="s">
        <v>14</v>
      </c>
      <c r="F669" s="3">
        <v>528000</v>
      </c>
      <c r="G669" s="1">
        <v>0.5</v>
      </c>
      <c r="H669" s="3">
        <f t="shared" si="14"/>
        <v>264000</v>
      </c>
    </row>
    <row r="670" spans="1:8" x14ac:dyDescent="0.35">
      <c r="A670">
        <v>735141010</v>
      </c>
      <c r="B670" t="s">
        <v>1035</v>
      </c>
      <c r="C670" t="s">
        <v>368</v>
      </c>
      <c r="D670" t="s">
        <v>29</v>
      </c>
      <c r="E670" t="s">
        <v>14</v>
      </c>
      <c r="F670" s="3">
        <v>528000</v>
      </c>
      <c r="G670" s="1">
        <v>0.5</v>
      </c>
      <c r="H670" s="3">
        <f t="shared" si="14"/>
        <v>264000</v>
      </c>
    </row>
    <row r="671" spans="1:8" x14ac:dyDescent="0.35">
      <c r="A671">
        <v>735142001</v>
      </c>
      <c r="B671" t="s">
        <v>1036</v>
      </c>
      <c r="C671" t="s">
        <v>368</v>
      </c>
      <c r="D671" t="s">
        <v>29</v>
      </c>
      <c r="E671" t="s">
        <v>14</v>
      </c>
      <c r="F671" s="3">
        <v>548000</v>
      </c>
      <c r="G671" s="1">
        <v>0.5</v>
      </c>
      <c r="H671" s="3">
        <f t="shared" si="14"/>
        <v>274000</v>
      </c>
    </row>
    <row r="672" spans="1:8" x14ac:dyDescent="0.35">
      <c r="A672">
        <v>735142010</v>
      </c>
      <c r="B672" t="s">
        <v>1037</v>
      </c>
      <c r="C672" t="s">
        <v>368</v>
      </c>
      <c r="D672" t="s">
        <v>29</v>
      </c>
      <c r="E672" t="s">
        <v>14</v>
      </c>
      <c r="F672" s="3">
        <v>548000</v>
      </c>
      <c r="G672" s="1">
        <v>0.5</v>
      </c>
      <c r="H672" s="3">
        <f t="shared" si="14"/>
        <v>274000</v>
      </c>
    </row>
    <row r="673" spans="1:8" x14ac:dyDescent="0.35">
      <c r="A673">
        <v>735142014</v>
      </c>
      <c r="B673" t="s">
        <v>1038</v>
      </c>
      <c r="C673" t="s">
        <v>368</v>
      </c>
      <c r="D673" t="s">
        <v>29</v>
      </c>
      <c r="E673" t="s">
        <v>14</v>
      </c>
      <c r="F673" s="3">
        <v>548000</v>
      </c>
      <c r="G673" s="1">
        <v>0.5</v>
      </c>
      <c r="H673" s="3">
        <f t="shared" si="14"/>
        <v>274000</v>
      </c>
    </row>
    <row r="674" spans="1:8" x14ac:dyDescent="0.35">
      <c r="A674">
        <v>735142015</v>
      </c>
      <c r="B674" t="s">
        <v>1039</v>
      </c>
      <c r="C674" t="s">
        <v>368</v>
      </c>
      <c r="D674" t="s">
        <v>29</v>
      </c>
      <c r="E674" t="s">
        <v>14</v>
      </c>
      <c r="F674" s="3">
        <v>548000</v>
      </c>
      <c r="G674" s="1">
        <v>0.5</v>
      </c>
      <c r="H674" s="3">
        <f t="shared" si="14"/>
        <v>274000</v>
      </c>
    </row>
    <row r="675" spans="1:8" x14ac:dyDescent="0.35">
      <c r="A675">
        <v>735142016</v>
      </c>
      <c r="B675" t="s">
        <v>1040</v>
      </c>
      <c r="C675" t="s">
        <v>368</v>
      </c>
      <c r="D675" t="s">
        <v>29</v>
      </c>
      <c r="E675" t="s">
        <v>14</v>
      </c>
      <c r="F675" s="3">
        <v>548000</v>
      </c>
      <c r="G675" s="1">
        <v>0.5</v>
      </c>
      <c r="H675" s="3">
        <f t="shared" si="14"/>
        <v>274000</v>
      </c>
    </row>
    <row r="676" spans="1:8" x14ac:dyDescent="0.35">
      <c r="A676">
        <v>730509002</v>
      </c>
      <c r="B676" t="s">
        <v>221</v>
      </c>
      <c r="C676" t="s">
        <v>92</v>
      </c>
      <c r="D676" t="s">
        <v>29</v>
      </c>
      <c r="E676" t="s">
        <v>14</v>
      </c>
      <c r="F676" s="3">
        <v>2348000</v>
      </c>
      <c r="G676" s="1">
        <v>0.2</v>
      </c>
      <c r="H676" s="3">
        <f t="shared" si="14"/>
        <v>1878400</v>
      </c>
    </row>
    <row r="677" spans="1:8" x14ac:dyDescent="0.35">
      <c r="A677">
        <v>730509005</v>
      </c>
      <c r="B677" t="s">
        <v>222</v>
      </c>
      <c r="C677" t="s">
        <v>92</v>
      </c>
      <c r="D677" t="s">
        <v>29</v>
      </c>
      <c r="E677" t="s">
        <v>14</v>
      </c>
      <c r="F677" s="3">
        <v>2348000</v>
      </c>
      <c r="G677" s="1">
        <v>0.2</v>
      </c>
      <c r="H677" s="3">
        <f t="shared" si="14"/>
        <v>1878400</v>
      </c>
    </row>
    <row r="678" spans="1:8" x14ac:dyDescent="0.35">
      <c r="A678">
        <v>730509010</v>
      </c>
      <c r="B678" t="s">
        <v>223</v>
      </c>
      <c r="C678" t="s">
        <v>92</v>
      </c>
      <c r="D678" t="s">
        <v>29</v>
      </c>
      <c r="E678" t="s">
        <v>14</v>
      </c>
      <c r="F678" s="3">
        <v>2348000</v>
      </c>
      <c r="G678" s="1">
        <v>0.2</v>
      </c>
      <c r="H678" s="3">
        <f t="shared" si="14"/>
        <v>1878400</v>
      </c>
    </row>
    <row r="679" spans="1:8" x14ac:dyDescent="0.35">
      <c r="A679">
        <v>733193002</v>
      </c>
      <c r="B679" t="s">
        <v>201</v>
      </c>
      <c r="C679" t="s">
        <v>92</v>
      </c>
      <c r="D679" t="s">
        <v>29</v>
      </c>
      <c r="E679" t="s">
        <v>14</v>
      </c>
      <c r="F679" s="3">
        <v>1148000</v>
      </c>
      <c r="G679" s="1">
        <v>0.2</v>
      </c>
      <c r="H679" s="3">
        <f t="shared" si="14"/>
        <v>918400</v>
      </c>
    </row>
    <row r="680" spans="1:8" x14ac:dyDescent="0.35">
      <c r="A680">
        <v>733193004</v>
      </c>
      <c r="B680" t="s">
        <v>200</v>
      </c>
      <c r="C680" t="s">
        <v>92</v>
      </c>
      <c r="D680" t="s">
        <v>29</v>
      </c>
      <c r="E680" t="s">
        <v>14</v>
      </c>
      <c r="F680" s="3">
        <v>1148000</v>
      </c>
      <c r="G680" s="1">
        <v>0.2</v>
      </c>
      <c r="H680" s="3">
        <f t="shared" si="14"/>
        <v>918400</v>
      </c>
    </row>
    <row r="681" spans="1:8" x14ac:dyDescent="0.35">
      <c r="A681">
        <v>733193007</v>
      </c>
      <c r="B681" t="s">
        <v>199</v>
      </c>
      <c r="C681" t="s">
        <v>92</v>
      </c>
      <c r="D681" t="s">
        <v>29</v>
      </c>
      <c r="E681" t="s">
        <v>14</v>
      </c>
      <c r="F681" s="3">
        <v>1148000</v>
      </c>
      <c r="G681" s="1">
        <v>0.2</v>
      </c>
      <c r="H681" s="3">
        <f t="shared" si="14"/>
        <v>918400</v>
      </c>
    </row>
    <row r="682" spans="1:8" x14ac:dyDescent="0.35">
      <c r="A682">
        <v>735646001</v>
      </c>
      <c r="B682" t="s">
        <v>508</v>
      </c>
      <c r="C682" t="s">
        <v>92</v>
      </c>
      <c r="D682" t="s">
        <v>29</v>
      </c>
      <c r="E682" t="s">
        <v>14</v>
      </c>
      <c r="F682" s="3">
        <v>1448000</v>
      </c>
      <c r="G682" s="1">
        <v>0.2</v>
      </c>
      <c r="H682" s="3">
        <f t="shared" si="14"/>
        <v>1158400</v>
      </c>
    </row>
    <row r="683" spans="1:8" x14ac:dyDescent="0.35">
      <c r="A683">
        <v>735646002</v>
      </c>
      <c r="B683" t="s">
        <v>509</v>
      </c>
      <c r="C683" t="s">
        <v>92</v>
      </c>
      <c r="D683" t="s">
        <v>29</v>
      </c>
      <c r="E683" t="s">
        <v>14</v>
      </c>
      <c r="F683" s="3">
        <v>1448000</v>
      </c>
      <c r="G683" s="1">
        <v>0.2</v>
      </c>
      <c r="H683" s="3">
        <f t="shared" si="14"/>
        <v>1158400</v>
      </c>
    </row>
    <row r="684" spans="1:8" x14ac:dyDescent="0.35">
      <c r="A684">
        <v>735646003</v>
      </c>
      <c r="B684" t="s">
        <v>235</v>
      </c>
      <c r="C684" t="s">
        <v>92</v>
      </c>
      <c r="D684" t="s">
        <v>29</v>
      </c>
      <c r="E684" t="s">
        <v>14</v>
      </c>
      <c r="F684" s="3">
        <v>1448000</v>
      </c>
      <c r="G684" s="1">
        <v>0.2</v>
      </c>
      <c r="H684" s="3">
        <f t="shared" si="14"/>
        <v>1158400</v>
      </c>
    </row>
    <row r="685" spans="1:8" x14ac:dyDescent="0.35">
      <c r="A685">
        <v>735646004</v>
      </c>
      <c r="B685" t="s">
        <v>237</v>
      </c>
      <c r="C685" t="s">
        <v>92</v>
      </c>
      <c r="D685" t="s">
        <v>29</v>
      </c>
      <c r="E685" t="s">
        <v>14</v>
      </c>
      <c r="F685" s="3">
        <v>1448000</v>
      </c>
      <c r="G685" s="1">
        <v>0.2</v>
      </c>
      <c r="H685" s="3">
        <f t="shared" si="14"/>
        <v>1158400</v>
      </c>
    </row>
    <row r="686" spans="1:8" x14ac:dyDescent="0.35">
      <c r="A686">
        <v>735646005</v>
      </c>
      <c r="B686" t="s">
        <v>238</v>
      </c>
      <c r="C686" t="s">
        <v>92</v>
      </c>
      <c r="D686" t="s">
        <v>29</v>
      </c>
      <c r="E686" t="s">
        <v>14</v>
      </c>
      <c r="F686" s="3">
        <v>1448000</v>
      </c>
      <c r="G686" s="1">
        <v>0.2</v>
      </c>
      <c r="H686" s="3">
        <f t="shared" si="14"/>
        <v>1158400</v>
      </c>
    </row>
    <row r="687" spans="1:8" x14ac:dyDescent="0.35">
      <c r="A687">
        <v>735646006</v>
      </c>
      <c r="B687" t="s">
        <v>234</v>
      </c>
      <c r="C687" t="s">
        <v>92</v>
      </c>
      <c r="D687" t="s">
        <v>29</v>
      </c>
      <c r="E687" t="s">
        <v>14</v>
      </c>
      <c r="F687" s="3">
        <v>1448000</v>
      </c>
      <c r="G687" s="1">
        <v>0.2</v>
      </c>
      <c r="H687" s="3">
        <f t="shared" si="14"/>
        <v>1158400</v>
      </c>
    </row>
    <row r="688" spans="1:8" x14ac:dyDescent="0.35">
      <c r="A688">
        <v>735646007</v>
      </c>
      <c r="B688" t="s">
        <v>510</v>
      </c>
      <c r="C688" t="s">
        <v>92</v>
      </c>
      <c r="D688" t="s">
        <v>29</v>
      </c>
      <c r="E688" t="s">
        <v>14</v>
      </c>
      <c r="F688" s="3">
        <v>1448000</v>
      </c>
      <c r="G688" s="1">
        <v>0.2</v>
      </c>
      <c r="H688" s="3">
        <f t="shared" si="14"/>
        <v>1158400</v>
      </c>
    </row>
    <row r="689" spans="1:8" x14ac:dyDescent="0.35">
      <c r="A689">
        <v>735646008</v>
      </c>
      <c r="B689" t="s">
        <v>231</v>
      </c>
      <c r="C689" t="s">
        <v>92</v>
      </c>
      <c r="D689" t="s">
        <v>29</v>
      </c>
      <c r="E689" t="s">
        <v>14</v>
      </c>
      <c r="F689" s="3">
        <v>1448000</v>
      </c>
      <c r="G689" s="1">
        <v>0.2</v>
      </c>
      <c r="H689" s="3">
        <f t="shared" si="14"/>
        <v>1158400</v>
      </c>
    </row>
    <row r="690" spans="1:8" x14ac:dyDescent="0.35">
      <c r="A690">
        <v>735646009</v>
      </c>
      <c r="B690" t="s">
        <v>236</v>
      </c>
      <c r="C690" t="s">
        <v>92</v>
      </c>
      <c r="D690" t="s">
        <v>29</v>
      </c>
      <c r="E690" t="s">
        <v>14</v>
      </c>
      <c r="F690" s="3">
        <v>1448000</v>
      </c>
      <c r="G690" s="1">
        <v>0.2</v>
      </c>
      <c r="H690" s="3">
        <f t="shared" si="14"/>
        <v>1158400</v>
      </c>
    </row>
    <row r="691" spans="1:8" x14ac:dyDescent="0.35">
      <c r="A691">
        <v>735646010</v>
      </c>
      <c r="B691" t="s">
        <v>511</v>
      </c>
      <c r="C691" t="s">
        <v>92</v>
      </c>
      <c r="D691" t="s">
        <v>29</v>
      </c>
      <c r="E691" t="s">
        <v>14</v>
      </c>
      <c r="F691" s="3">
        <v>1448000</v>
      </c>
      <c r="G691" s="1">
        <v>0.2</v>
      </c>
      <c r="H691" s="3">
        <f t="shared" si="14"/>
        <v>1158400</v>
      </c>
    </row>
    <row r="692" spans="1:8" x14ac:dyDescent="0.35">
      <c r="A692">
        <v>735646011</v>
      </c>
      <c r="B692" t="s">
        <v>232</v>
      </c>
      <c r="C692" t="s">
        <v>92</v>
      </c>
      <c r="D692" t="s">
        <v>29</v>
      </c>
      <c r="E692" t="s">
        <v>14</v>
      </c>
      <c r="F692" s="3">
        <v>1448000</v>
      </c>
      <c r="G692" s="1">
        <v>0.2</v>
      </c>
      <c r="H692" s="3">
        <f t="shared" si="14"/>
        <v>1158400</v>
      </c>
    </row>
    <row r="693" spans="1:8" x14ac:dyDescent="0.35">
      <c r="A693">
        <v>735646012</v>
      </c>
      <c r="B693" t="s">
        <v>512</v>
      </c>
      <c r="C693" t="s">
        <v>92</v>
      </c>
      <c r="D693" t="s">
        <v>29</v>
      </c>
      <c r="E693" t="s">
        <v>14</v>
      </c>
      <c r="F693" s="3">
        <v>1448000</v>
      </c>
      <c r="G693" s="1">
        <v>0.2</v>
      </c>
      <c r="H693" s="3">
        <f t="shared" si="14"/>
        <v>1158400</v>
      </c>
    </row>
    <row r="694" spans="1:8" x14ac:dyDescent="0.35">
      <c r="A694">
        <v>735646013</v>
      </c>
      <c r="B694" t="s">
        <v>513</v>
      </c>
      <c r="C694" t="s">
        <v>92</v>
      </c>
      <c r="D694" t="s">
        <v>29</v>
      </c>
      <c r="E694" t="s">
        <v>14</v>
      </c>
      <c r="F694" s="3">
        <v>1448000</v>
      </c>
      <c r="G694" s="1">
        <v>0.2</v>
      </c>
      <c r="H694" s="3">
        <f t="shared" si="14"/>
        <v>1158400</v>
      </c>
    </row>
    <row r="695" spans="1:8" x14ac:dyDescent="0.35">
      <c r="A695">
        <v>735646014</v>
      </c>
      <c r="B695" t="s">
        <v>233</v>
      </c>
      <c r="C695" t="s">
        <v>92</v>
      </c>
      <c r="D695" t="s">
        <v>29</v>
      </c>
      <c r="E695" t="s">
        <v>14</v>
      </c>
      <c r="F695" s="3">
        <v>1448000</v>
      </c>
      <c r="G695" s="1">
        <v>0.2</v>
      </c>
      <c r="H695" s="3">
        <f t="shared" si="14"/>
        <v>1158400</v>
      </c>
    </row>
    <row r="696" spans="1:8" x14ac:dyDescent="0.35">
      <c r="A696">
        <v>735647001</v>
      </c>
      <c r="B696" t="s">
        <v>514</v>
      </c>
      <c r="C696" t="s">
        <v>92</v>
      </c>
      <c r="D696" t="s">
        <v>29</v>
      </c>
      <c r="E696" t="s">
        <v>14</v>
      </c>
      <c r="F696" s="3">
        <v>1498000</v>
      </c>
      <c r="G696" s="1">
        <v>0.2</v>
      </c>
      <c r="H696" s="3">
        <f t="shared" si="14"/>
        <v>1198400</v>
      </c>
    </row>
    <row r="697" spans="1:8" x14ac:dyDescent="0.35">
      <c r="A697">
        <v>735647003</v>
      </c>
      <c r="B697" t="s">
        <v>515</v>
      </c>
      <c r="C697" t="s">
        <v>92</v>
      </c>
      <c r="D697" t="s">
        <v>29</v>
      </c>
      <c r="E697" t="s">
        <v>14</v>
      </c>
      <c r="F697" s="3">
        <v>1498000</v>
      </c>
      <c r="G697" s="1">
        <v>0.2</v>
      </c>
      <c r="H697" s="3">
        <f t="shared" si="14"/>
        <v>1198400</v>
      </c>
    </row>
    <row r="698" spans="1:8" x14ac:dyDescent="0.35">
      <c r="A698">
        <v>735647004</v>
      </c>
      <c r="B698" t="s">
        <v>516</v>
      </c>
      <c r="C698" t="s">
        <v>92</v>
      </c>
      <c r="D698" t="s">
        <v>29</v>
      </c>
      <c r="E698" t="s">
        <v>14</v>
      </c>
      <c r="F698" s="3">
        <v>1498000</v>
      </c>
      <c r="G698" s="1">
        <v>0.2</v>
      </c>
      <c r="H698" s="3">
        <f t="shared" si="14"/>
        <v>1198400</v>
      </c>
    </row>
    <row r="699" spans="1:8" x14ac:dyDescent="0.35">
      <c r="A699">
        <v>735647005</v>
      </c>
      <c r="B699" t="s">
        <v>517</v>
      </c>
      <c r="C699" t="s">
        <v>92</v>
      </c>
      <c r="D699" t="s">
        <v>29</v>
      </c>
      <c r="E699" t="s">
        <v>14</v>
      </c>
      <c r="F699" s="3">
        <v>1498000</v>
      </c>
      <c r="G699" s="1">
        <v>0.2</v>
      </c>
      <c r="H699" s="3">
        <f t="shared" si="14"/>
        <v>1198400</v>
      </c>
    </row>
    <row r="700" spans="1:8" x14ac:dyDescent="0.35">
      <c r="A700">
        <v>735647007</v>
      </c>
      <c r="B700" t="s">
        <v>518</v>
      </c>
      <c r="C700" t="s">
        <v>92</v>
      </c>
      <c r="D700" t="s">
        <v>29</v>
      </c>
      <c r="E700" t="s">
        <v>14</v>
      </c>
      <c r="F700" s="3">
        <v>1498000</v>
      </c>
      <c r="G700" s="1">
        <v>0.2</v>
      </c>
      <c r="H700" s="3">
        <f t="shared" si="14"/>
        <v>1198400</v>
      </c>
    </row>
    <row r="701" spans="1:8" x14ac:dyDescent="0.35">
      <c r="A701">
        <v>735647008</v>
      </c>
      <c r="B701" t="s">
        <v>519</v>
      </c>
      <c r="C701" t="s">
        <v>92</v>
      </c>
      <c r="D701" t="s">
        <v>29</v>
      </c>
      <c r="E701" t="s">
        <v>14</v>
      </c>
      <c r="F701" s="3">
        <v>1498000</v>
      </c>
      <c r="G701" s="1">
        <v>0.2</v>
      </c>
      <c r="H701" s="3">
        <f t="shared" si="14"/>
        <v>1198400</v>
      </c>
    </row>
    <row r="702" spans="1:8" x14ac:dyDescent="0.35">
      <c r="A702">
        <v>735647009</v>
      </c>
      <c r="B702" t="s">
        <v>520</v>
      </c>
      <c r="C702" t="s">
        <v>92</v>
      </c>
      <c r="D702" t="s">
        <v>29</v>
      </c>
      <c r="E702" t="s">
        <v>14</v>
      </c>
      <c r="F702" s="3">
        <v>1498000</v>
      </c>
      <c r="G702" s="1">
        <v>0.2</v>
      </c>
      <c r="H702" s="3">
        <f t="shared" si="14"/>
        <v>1198400</v>
      </c>
    </row>
    <row r="703" spans="1:8" x14ac:dyDescent="0.35">
      <c r="A703">
        <v>735647010</v>
      </c>
      <c r="B703" t="s">
        <v>202</v>
      </c>
      <c r="C703" t="s">
        <v>92</v>
      </c>
      <c r="D703" t="s">
        <v>29</v>
      </c>
      <c r="E703" t="s">
        <v>14</v>
      </c>
      <c r="F703" s="3">
        <v>1498000</v>
      </c>
      <c r="G703" s="1">
        <v>0.2</v>
      </c>
      <c r="H703" s="3">
        <f t="shared" si="14"/>
        <v>1198400</v>
      </c>
    </row>
    <row r="704" spans="1:8" x14ac:dyDescent="0.35">
      <c r="A704">
        <v>735647011</v>
      </c>
      <c r="B704" t="s">
        <v>521</v>
      </c>
      <c r="C704" t="s">
        <v>92</v>
      </c>
      <c r="D704" t="s">
        <v>29</v>
      </c>
      <c r="E704" t="s">
        <v>14</v>
      </c>
      <c r="F704" s="3">
        <v>1498000</v>
      </c>
      <c r="G704" s="1">
        <v>0.2</v>
      </c>
      <c r="H704" s="3">
        <f t="shared" si="14"/>
        <v>1198400</v>
      </c>
    </row>
    <row r="705" spans="1:8" x14ac:dyDescent="0.35">
      <c r="A705">
        <v>735647013</v>
      </c>
      <c r="B705" t="s">
        <v>522</v>
      </c>
      <c r="C705" t="s">
        <v>92</v>
      </c>
      <c r="D705" t="s">
        <v>29</v>
      </c>
      <c r="E705" t="s">
        <v>14</v>
      </c>
      <c r="F705" s="3">
        <v>1498000</v>
      </c>
      <c r="G705" s="1">
        <v>0.2</v>
      </c>
      <c r="H705" s="3">
        <f t="shared" si="14"/>
        <v>1198400</v>
      </c>
    </row>
    <row r="706" spans="1:8" x14ac:dyDescent="0.35">
      <c r="A706">
        <v>735647015</v>
      </c>
      <c r="B706" t="s">
        <v>523</v>
      </c>
      <c r="C706" t="s">
        <v>92</v>
      </c>
      <c r="D706" t="s">
        <v>29</v>
      </c>
      <c r="E706" t="s">
        <v>14</v>
      </c>
      <c r="F706" s="3">
        <v>1498000</v>
      </c>
      <c r="G706" s="1">
        <v>0.2</v>
      </c>
      <c r="H706" s="3">
        <f t="shared" ref="H706:H769" si="15">F706*(1-G706)</f>
        <v>1198400</v>
      </c>
    </row>
    <row r="707" spans="1:8" x14ac:dyDescent="0.35">
      <c r="A707">
        <v>735647016</v>
      </c>
      <c r="B707" t="s">
        <v>524</v>
      </c>
      <c r="C707" t="s">
        <v>92</v>
      </c>
      <c r="D707" t="s">
        <v>29</v>
      </c>
      <c r="E707" t="s">
        <v>14</v>
      </c>
      <c r="F707" s="3">
        <v>1498000</v>
      </c>
      <c r="G707" s="1">
        <v>0.2</v>
      </c>
      <c r="H707" s="3">
        <f t="shared" si="15"/>
        <v>1198400</v>
      </c>
    </row>
    <row r="708" spans="1:8" x14ac:dyDescent="0.35">
      <c r="A708">
        <v>735648001</v>
      </c>
      <c r="B708" t="s">
        <v>211</v>
      </c>
      <c r="C708" t="s">
        <v>92</v>
      </c>
      <c r="D708" t="s">
        <v>29</v>
      </c>
      <c r="E708" t="s">
        <v>14</v>
      </c>
      <c r="F708" s="3">
        <v>1298000</v>
      </c>
      <c r="G708" s="1">
        <v>0.2</v>
      </c>
      <c r="H708" s="3">
        <f t="shared" si="15"/>
        <v>1038400</v>
      </c>
    </row>
    <row r="709" spans="1:8" x14ac:dyDescent="0.35">
      <c r="A709">
        <v>735648004</v>
      </c>
      <c r="B709" t="s">
        <v>210</v>
      </c>
      <c r="C709" t="s">
        <v>92</v>
      </c>
      <c r="D709" t="s">
        <v>29</v>
      </c>
      <c r="E709" t="s">
        <v>14</v>
      </c>
      <c r="F709" s="3">
        <v>1298000</v>
      </c>
      <c r="G709" s="1">
        <v>0.2</v>
      </c>
      <c r="H709" s="3">
        <f t="shared" si="15"/>
        <v>1038400</v>
      </c>
    </row>
    <row r="710" spans="1:8" x14ac:dyDescent="0.35">
      <c r="A710">
        <v>735649007</v>
      </c>
      <c r="B710" t="s">
        <v>243</v>
      </c>
      <c r="C710" t="s">
        <v>92</v>
      </c>
      <c r="D710" t="s">
        <v>29</v>
      </c>
      <c r="E710" t="s">
        <v>14</v>
      </c>
      <c r="F710" s="3">
        <v>1198000</v>
      </c>
      <c r="G710" s="1">
        <v>0.2</v>
      </c>
      <c r="H710" s="3">
        <f t="shared" si="15"/>
        <v>958400</v>
      </c>
    </row>
    <row r="711" spans="1:8" x14ac:dyDescent="0.35">
      <c r="A711">
        <v>735649008</v>
      </c>
      <c r="B711" t="s">
        <v>240</v>
      </c>
      <c r="C711" t="s">
        <v>92</v>
      </c>
      <c r="D711" t="s">
        <v>29</v>
      </c>
      <c r="E711" t="s">
        <v>14</v>
      </c>
      <c r="F711" s="3">
        <v>1198000</v>
      </c>
      <c r="G711" s="1">
        <v>0.2</v>
      </c>
      <c r="H711" s="3">
        <f t="shared" si="15"/>
        <v>958400</v>
      </c>
    </row>
    <row r="712" spans="1:8" x14ac:dyDescent="0.35">
      <c r="A712">
        <v>735649010</v>
      </c>
      <c r="B712" t="s">
        <v>242</v>
      </c>
      <c r="C712" t="s">
        <v>92</v>
      </c>
      <c r="D712" t="s">
        <v>29</v>
      </c>
      <c r="E712" t="s">
        <v>14</v>
      </c>
      <c r="F712" s="3">
        <v>1198000</v>
      </c>
      <c r="G712" s="1">
        <v>0.2</v>
      </c>
      <c r="H712" s="3">
        <f t="shared" si="15"/>
        <v>958400</v>
      </c>
    </row>
    <row r="713" spans="1:8" x14ac:dyDescent="0.35">
      <c r="A713">
        <v>735649012</v>
      </c>
      <c r="B713" t="s">
        <v>239</v>
      </c>
      <c r="C713" t="s">
        <v>92</v>
      </c>
      <c r="D713" t="s">
        <v>29</v>
      </c>
      <c r="E713" t="s">
        <v>14</v>
      </c>
      <c r="F713" s="3">
        <v>1198000</v>
      </c>
      <c r="G713" s="1">
        <v>0.2</v>
      </c>
      <c r="H713" s="3">
        <f t="shared" si="15"/>
        <v>958400</v>
      </c>
    </row>
    <row r="714" spans="1:8" x14ac:dyDescent="0.35">
      <c r="A714">
        <v>735649014</v>
      </c>
      <c r="B714" t="s">
        <v>241</v>
      </c>
      <c r="C714" t="s">
        <v>92</v>
      </c>
      <c r="D714" t="s">
        <v>29</v>
      </c>
      <c r="E714" t="s">
        <v>14</v>
      </c>
      <c r="F714" s="3">
        <v>1198000</v>
      </c>
      <c r="G714" s="1">
        <v>0.2</v>
      </c>
      <c r="H714" s="3">
        <f t="shared" si="15"/>
        <v>958400</v>
      </c>
    </row>
    <row r="715" spans="1:8" x14ac:dyDescent="0.35">
      <c r="A715">
        <v>735656005</v>
      </c>
      <c r="B715" t="s">
        <v>209</v>
      </c>
      <c r="C715" t="s">
        <v>92</v>
      </c>
      <c r="D715" t="s">
        <v>29</v>
      </c>
      <c r="E715" t="s">
        <v>14</v>
      </c>
      <c r="F715" s="3">
        <v>2848000</v>
      </c>
      <c r="G715" s="1">
        <v>0.2</v>
      </c>
      <c r="H715" s="3">
        <f t="shared" si="15"/>
        <v>2278400</v>
      </c>
    </row>
    <row r="716" spans="1:8" x14ac:dyDescent="0.35">
      <c r="A716">
        <v>735657002</v>
      </c>
      <c r="B716" t="s">
        <v>525</v>
      </c>
      <c r="C716" t="s">
        <v>92</v>
      </c>
      <c r="D716" t="s">
        <v>29</v>
      </c>
      <c r="E716" t="s">
        <v>14</v>
      </c>
      <c r="F716" s="3">
        <v>2798000</v>
      </c>
      <c r="G716" s="1">
        <v>0.2</v>
      </c>
      <c r="H716" s="3">
        <f t="shared" si="15"/>
        <v>2238400</v>
      </c>
    </row>
    <row r="717" spans="1:8" x14ac:dyDescent="0.35">
      <c r="A717">
        <v>735657003</v>
      </c>
      <c r="B717" t="s">
        <v>227</v>
      </c>
      <c r="C717" t="s">
        <v>92</v>
      </c>
      <c r="D717" t="s">
        <v>29</v>
      </c>
      <c r="E717" t="s">
        <v>14</v>
      </c>
      <c r="F717" s="3">
        <v>2798000</v>
      </c>
      <c r="G717" s="1">
        <v>0.2</v>
      </c>
      <c r="H717" s="3">
        <f t="shared" si="15"/>
        <v>2238400</v>
      </c>
    </row>
    <row r="718" spans="1:8" x14ac:dyDescent="0.35">
      <c r="A718">
        <v>735657004</v>
      </c>
      <c r="B718" t="s">
        <v>526</v>
      </c>
      <c r="C718" t="s">
        <v>92</v>
      </c>
      <c r="D718" t="s">
        <v>29</v>
      </c>
      <c r="E718" t="s">
        <v>14</v>
      </c>
      <c r="F718" s="3">
        <v>2798000</v>
      </c>
      <c r="G718" s="1">
        <v>0.2</v>
      </c>
      <c r="H718" s="3">
        <f t="shared" si="15"/>
        <v>2238400</v>
      </c>
    </row>
    <row r="719" spans="1:8" x14ac:dyDescent="0.35">
      <c r="A719">
        <v>735657005</v>
      </c>
      <c r="B719" t="s">
        <v>527</v>
      </c>
      <c r="C719" t="s">
        <v>92</v>
      </c>
      <c r="D719" t="s">
        <v>29</v>
      </c>
      <c r="E719" t="s">
        <v>14</v>
      </c>
      <c r="F719" s="3">
        <v>2798000</v>
      </c>
      <c r="G719" s="1">
        <v>0.2</v>
      </c>
      <c r="H719" s="3">
        <f t="shared" si="15"/>
        <v>2238400</v>
      </c>
    </row>
    <row r="720" spans="1:8" x14ac:dyDescent="0.35">
      <c r="A720">
        <v>735657006</v>
      </c>
      <c r="B720" t="s">
        <v>1041</v>
      </c>
      <c r="C720" t="s">
        <v>92</v>
      </c>
      <c r="D720" t="s">
        <v>29</v>
      </c>
      <c r="E720" t="s">
        <v>14</v>
      </c>
      <c r="F720" s="3">
        <v>2798000</v>
      </c>
      <c r="G720" s="1">
        <v>0.2</v>
      </c>
      <c r="H720" s="3">
        <f t="shared" si="15"/>
        <v>2238400</v>
      </c>
    </row>
    <row r="721" spans="1:8" x14ac:dyDescent="0.35">
      <c r="A721">
        <v>735657007</v>
      </c>
      <c r="B721" t="s">
        <v>225</v>
      </c>
      <c r="C721" t="s">
        <v>92</v>
      </c>
      <c r="D721" t="s">
        <v>29</v>
      </c>
      <c r="E721" t="s">
        <v>14</v>
      </c>
      <c r="F721" s="3">
        <v>2798000</v>
      </c>
      <c r="G721" s="1">
        <v>0.2</v>
      </c>
      <c r="H721" s="3">
        <f t="shared" si="15"/>
        <v>2238400</v>
      </c>
    </row>
    <row r="722" spans="1:8" x14ac:dyDescent="0.35">
      <c r="A722">
        <v>735657008</v>
      </c>
      <c r="B722" t="s">
        <v>228</v>
      </c>
      <c r="C722" t="s">
        <v>92</v>
      </c>
      <c r="D722" t="s">
        <v>29</v>
      </c>
      <c r="E722" t="s">
        <v>14</v>
      </c>
      <c r="F722" s="3">
        <v>2798000</v>
      </c>
      <c r="G722" s="1">
        <v>0.2</v>
      </c>
      <c r="H722" s="3">
        <f t="shared" si="15"/>
        <v>2238400</v>
      </c>
    </row>
    <row r="723" spans="1:8" x14ac:dyDescent="0.35">
      <c r="A723">
        <v>735657009</v>
      </c>
      <c r="B723" t="s">
        <v>528</v>
      </c>
      <c r="C723" t="s">
        <v>92</v>
      </c>
      <c r="D723" t="s">
        <v>29</v>
      </c>
      <c r="E723" t="s">
        <v>14</v>
      </c>
      <c r="F723" s="3">
        <v>2798000</v>
      </c>
      <c r="G723" s="1">
        <v>0.2</v>
      </c>
      <c r="H723" s="3">
        <f t="shared" si="15"/>
        <v>2238400</v>
      </c>
    </row>
    <row r="724" spans="1:8" x14ac:dyDescent="0.35">
      <c r="A724">
        <v>735657010</v>
      </c>
      <c r="B724" t="s">
        <v>224</v>
      </c>
      <c r="C724" t="s">
        <v>92</v>
      </c>
      <c r="D724" t="s">
        <v>29</v>
      </c>
      <c r="E724" t="s">
        <v>14</v>
      </c>
      <c r="F724" s="3">
        <v>2798000</v>
      </c>
      <c r="G724" s="1">
        <v>0.2</v>
      </c>
      <c r="H724" s="3">
        <f t="shared" si="15"/>
        <v>2238400</v>
      </c>
    </row>
    <row r="725" spans="1:8" x14ac:dyDescent="0.35">
      <c r="A725">
        <v>735657011</v>
      </c>
      <c r="B725" t="s">
        <v>226</v>
      </c>
      <c r="C725" t="s">
        <v>92</v>
      </c>
      <c r="D725" t="s">
        <v>29</v>
      </c>
      <c r="E725" t="s">
        <v>14</v>
      </c>
      <c r="F725" s="3">
        <v>2798000</v>
      </c>
      <c r="G725" s="1">
        <v>0.2</v>
      </c>
      <c r="H725" s="3">
        <f t="shared" si="15"/>
        <v>2238400</v>
      </c>
    </row>
    <row r="726" spans="1:8" x14ac:dyDescent="0.35">
      <c r="A726">
        <v>735658003</v>
      </c>
      <c r="B726" t="s">
        <v>217</v>
      </c>
      <c r="C726" t="s">
        <v>92</v>
      </c>
      <c r="D726" t="s">
        <v>29</v>
      </c>
      <c r="E726" t="s">
        <v>14</v>
      </c>
      <c r="F726" s="3">
        <v>3498000</v>
      </c>
      <c r="G726" s="1">
        <v>0.2</v>
      </c>
      <c r="H726" s="3">
        <f t="shared" si="15"/>
        <v>2798400</v>
      </c>
    </row>
    <row r="727" spans="1:8" x14ac:dyDescent="0.35">
      <c r="A727">
        <v>735658005</v>
      </c>
      <c r="B727" t="s">
        <v>219</v>
      </c>
      <c r="C727" t="s">
        <v>92</v>
      </c>
      <c r="D727" t="s">
        <v>29</v>
      </c>
      <c r="E727" t="s">
        <v>14</v>
      </c>
      <c r="F727" s="3">
        <v>3498000</v>
      </c>
      <c r="G727" s="1">
        <v>0.2</v>
      </c>
      <c r="H727" s="3">
        <f t="shared" si="15"/>
        <v>2798400</v>
      </c>
    </row>
    <row r="728" spans="1:8" x14ac:dyDescent="0.35">
      <c r="A728">
        <v>735658006</v>
      </c>
      <c r="B728" t="s">
        <v>215</v>
      </c>
      <c r="C728" t="s">
        <v>92</v>
      </c>
      <c r="D728" t="s">
        <v>29</v>
      </c>
      <c r="E728" t="s">
        <v>14</v>
      </c>
      <c r="F728" s="3">
        <v>3498000</v>
      </c>
      <c r="G728" s="1">
        <v>0.2</v>
      </c>
      <c r="H728" s="3">
        <f t="shared" si="15"/>
        <v>2798400</v>
      </c>
    </row>
    <row r="729" spans="1:8" x14ac:dyDescent="0.35">
      <c r="A729">
        <v>735658007</v>
      </c>
      <c r="B729" t="s">
        <v>218</v>
      </c>
      <c r="C729" t="s">
        <v>92</v>
      </c>
      <c r="D729" t="s">
        <v>29</v>
      </c>
      <c r="E729" t="s">
        <v>14</v>
      </c>
      <c r="F729" s="3">
        <v>3498000</v>
      </c>
      <c r="G729" s="1">
        <v>0.2</v>
      </c>
      <c r="H729" s="3">
        <f t="shared" si="15"/>
        <v>2798400</v>
      </c>
    </row>
    <row r="730" spans="1:8" x14ac:dyDescent="0.35">
      <c r="A730">
        <v>735658009</v>
      </c>
      <c r="B730" t="s">
        <v>220</v>
      </c>
      <c r="C730" t="s">
        <v>92</v>
      </c>
      <c r="D730" t="s">
        <v>29</v>
      </c>
      <c r="E730" t="s">
        <v>14</v>
      </c>
      <c r="F730" s="3">
        <v>3498000</v>
      </c>
      <c r="G730" s="1">
        <v>0.2</v>
      </c>
      <c r="H730" s="3">
        <f t="shared" si="15"/>
        <v>2798400</v>
      </c>
    </row>
    <row r="731" spans="1:8" x14ac:dyDescent="0.35">
      <c r="A731">
        <v>735658010</v>
      </c>
      <c r="B731" t="s">
        <v>216</v>
      </c>
      <c r="C731" t="s">
        <v>92</v>
      </c>
      <c r="D731" t="s">
        <v>29</v>
      </c>
      <c r="E731" t="s">
        <v>14</v>
      </c>
      <c r="F731" s="3">
        <v>3498000</v>
      </c>
      <c r="G731" s="1">
        <v>0.2</v>
      </c>
      <c r="H731" s="3">
        <f t="shared" si="15"/>
        <v>2798400</v>
      </c>
    </row>
    <row r="732" spans="1:8" x14ac:dyDescent="0.35">
      <c r="A732">
        <v>735658011</v>
      </c>
      <c r="B732" t="s">
        <v>529</v>
      </c>
      <c r="C732" t="s">
        <v>92</v>
      </c>
      <c r="D732" t="s">
        <v>29</v>
      </c>
      <c r="E732" t="s">
        <v>14</v>
      </c>
      <c r="F732" s="3">
        <v>3498000</v>
      </c>
      <c r="G732" s="1">
        <v>0.2</v>
      </c>
      <c r="H732" s="3">
        <f t="shared" si="15"/>
        <v>2798400</v>
      </c>
    </row>
    <row r="733" spans="1:8" x14ac:dyDescent="0.35">
      <c r="A733">
        <v>735659001</v>
      </c>
      <c r="B733" t="s">
        <v>245</v>
      </c>
      <c r="C733" t="s">
        <v>92</v>
      </c>
      <c r="D733" t="s">
        <v>29</v>
      </c>
      <c r="E733" t="s">
        <v>14</v>
      </c>
      <c r="F733" s="3">
        <v>1848000</v>
      </c>
      <c r="G733" s="1">
        <v>0.2</v>
      </c>
      <c r="H733" s="3">
        <f t="shared" si="15"/>
        <v>1478400</v>
      </c>
    </row>
    <row r="734" spans="1:8" x14ac:dyDescent="0.35">
      <c r="A734">
        <v>735659002</v>
      </c>
      <c r="B734" t="s">
        <v>246</v>
      </c>
      <c r="C734" t="s">
        <v>92</v>
      </c>
      <c r="D734" t="s">
        <v>29</v>
      </c>
      <c r="E734" t="s">
        <v>14</v>
      </c>
      <c r="F734" s="3">
        <v>1848000</v>
      </c>
      <c r="G734" s="1">
        <v>0.2</v>
      </c>
      <c r="H734" s="3">
        <f t="shared" si="15"/>
        <v>1478400</v>
      </c>
    </row>
    <row r="735" spans="1:8" x14ac:dyDescent="0.35">
      <c r="A735">
        <v>735659003</v>
      </c>
      <c r="B735" t="s">
        <v>247</v>
      </c>
      <c r="C735" t="s">
        <v>92</v>
      </c>
      <c r="D735" t="s">
        <v>29</v>
      </c>
      <c r="E735" t="s">
        <v>14</v>
      </c>
      <c r="F735" s="3">
        <v>1848000</v>
      </c>
      <c r="G735" s="1">
        <v>0.2</v>
      </c>
      <c r="H735" s="3">
        <f t="shared" si="15"/>
        <v>1478400</v>
      </c>
    </row>
    <row r="736" spans="1:8" x14ac:dyDescent="0.35">
      <c r="A736">
        <v>735659004</v>
      </c>
      <c r="B736" t="s">
        <v>244</v>
      </c>
      <c r="C736" t="s">
        <v>92</v>
      </c>
      <c r="D736" t="s">
        <v>29</v>
      </c>
      <c r="E736" t="s">
        <v>14</v>
      </c>
      <c r="F736" s="3">
        <v>1848000</v>
      </c>
      <c r="G736" s="1">
        <v>0.2</v>
      </c>
      <c r="H736" s="3">
        <f t="shared" si="15"/>
        <v>1478400</v>
      </c>
    </row>
    <row r="737" spans="1:8" x14ac:dyDescent="0.35">
      <c r="A737">
        <v>735855001</v>
      </c>
      <c r="B737" t="s">
        <v>229</v>
      </c>
      <c r="C737" t="s">
        <v>92</v>
      </c>
      <c r="D737" t="s">
        <v>29</v>
      </c>
      <c r="E737" t="s">
        <v>14</v>
      </c>
      <c r="F737" s="3">
        <v>3498000</v>
      </c>
      <c r="G737" s="1">
        <v>0.2</v>
      </c>
      <c r="H737" s="3">
        <f t="shared" si="15"/>
        <v>2798400</v>
      </c>
    </row>
    <row r="738" spans="1:8" x14ac:dyDescent="0.35">
      <c r="A738">
        <v>735855002</v>
      </c>
      <c r="B738" t="s">
        <v>230</v>
      </c>
      <c r="C738" t="s">
        <v>92</v>
      </c>
      <c r="D738" t="s">
        <v>29</v>
      </c>
      <c r="E738" t="s">
        <v>14</v>
      </c>
      <c r="F738" s="3">
        <v>3498000</v>
      </c>
      <c r="G738" s="1">
        <v>0.2</v>
      </c>
      <c r="H738" s="3">
        <f t="shared" si="15"/>
        <v>2798400</v>
      </c>
    </row>
    <row r="739" spans="1:8" x14ac:dyDescent="0.35">
      <c r="A739">
        <v>737167001</v>
      </c>
      <c r="B739" t="s">
        <v>207</v>
      </c>
      <c r="C739" t="s">
        <v>92</v>
      </c>
      <c r="D739" t="s">
        <v>29</v>
      </c>
      <c r="E739" t="s">
        <v>14</v>
      </c>
      <c r="F739" s="3">
        <v>1098000</v>
      </c>
      <c r="G739" s="1">
        <v>0.2</v>
      </c>
      <c r="H739" s="3">
        <f t="shared" si="15"/>
        <v>878400</v>
      </c>
    </row>
    <row r="740" spans="1:8" x14ac:dyDescent="0.35">
      <c r="A740">
        <v>737167002</v>
      </c>
      <c r="B740" t="s">
        <v>530</v>
      </c>
      <c r="C740" t="s">
        <v>92</v>
      </c>
      <c r="D740" t="s">
        <v>29</v>
      </c>
      <c r="E740" t="s">
        <v>14</v>
      </c>
      <c r="F740" s="3">
        <v>1098000</v>
      </c>
      <c r="G740" s="1">
        <v>0.2</v>
      </c>
      <c r="H740" s="3">
        <f t="shared" si="15"/>
        <v>878400</v>
      </c>
    </row>
    <row r="741" spans="1:8" x14ac:dyDescent="0.35">
      <c r="A741">
        <v>737167003</v>
      </c>
      <c r="B741" t="s">
        <v>531</v>
      </c>
      <c r="C741" t="s">
        <v>92</v>
      </c>
      <c r="D741" t="s">
        <v>29</v>
      </c>
      <c r="E741" t="s">
        <v>14</v>
      </c>
      <c r="F741" s="3">
        <v>1098000</v>
      </c>
      <c r="G741" s="1">
        <v>0.2</v>
      </c>
      <c r="H741" s="3">
        <f t="shared" si="15"/>
        <v>878400</v>
      </c>
    </row>
    <row r="742" spans="1:8" x14ac:dyDescent="0.35">
      <c r="A742">
        <v>737167004</v>
      </c>
      <c r="B742" t="s">
        <v>532</v>
      </c>
      <c r="C742" t="s">
        <v>92</v>
      </c>
      <c r="D742" t="s">
        <v>29</v>
      </c>
      <c r="E742" t="s">
        <v>14</v>
      </c>
      <c r="F742" s="3">
        <v>1098000</v>
      </c>
      <c r="G742" s="1">
        <v>0.2</v>
      </c>
      <c r="H742" s="3">
        <f t="shared" si="15"/>
        <v>878400</v>
      </c>
    </row>
    <row r="743" spans="1:8" x14ac:dyDescent="0.35">
      <c r="A743">
        <v>737167005</v>
      </c>
      <c r="B743" t="s">
        <v>533</v>
      </c>
      <c r="C743" t="s">
        <v>92</v>
      </c>
      <c r="D743" t="s">
        <v>29</v>
      </c>
      <c r="E743" t="s">
        <v>14</v>
      </c>
      <c r="F743" s="3">
        <v>1098000</v>
      </c>
      <c r="G743" s="1">
        <v>0.2</v>
      </c>
      <c r="H743" s="3">
        <f t="shared" si="15"/>
        <v>878400</v>
      </c>
    </row>
    <row r="744" spans="1:8" x14ac:dyDescent="0.35">
      <c r="A744">
        <v>737167006</v>
      </c>
      <c r="B744" t="s">
        <v>205</v>
      </c>
      <c r="C744" t="s">
        <v>92</v>
      </c>
      <c r="D744" t="s">
        <v>29</v>
      </c>
      <c r="E744" t="s">
        <v>14</v>
      </c>
      <c r="F744" s="3">
        <v>1098000</v>
      </c>
      <c r="G744" s="1">
        <v>0.2</v>
      </c>
      <c r="H744" s="3">
        <f t="shared" si="15"/>
        <v>878400</v>
      </c>
    </row>
    <row r="745" spans="1:8" x14ac:dyDescent="0.35">
      <c r="A745">
        <v>737167007</v>
      </c>
      <c r="B745" t="s">
        <v>206</v>
      </c>
      <c r="C745" t="s">
        <v>92</v>
      </c>
      <c r="D745" t="s">
        <v>29</v>
      </c>
      <c r="E745" t="s">
        <v>14</v>
      </c>
      <c r="F745" s="3">
        <v>1098000</v>
      </c>
      <c r="G745" s="1">
        <v>0.2</v>
      </c>
      <c r="H745" s="3">
        <f t="shared" si="15"/>
        <v>878400</v>
      </c>
    </row>
    <row r="746" spans="1:8" x14ac:dyDescent="0.35">
      <c r="A746">
        <v>737167008</v>
      </c>
      <c r="B746" t="s">
        <v>534</v>
      </c>
      <c r="C746" t="s">
        <v>92</v>
      </c>
      <c r="D746" t="s">
        <v>29</v>
      </c>
      <c r="E746" t="s">
        <v>14</v>
      </c>
      <c r="F746" s="3">
        <v>1098000</v>
      </c>
      <c r="G746" s="1">
        <v>0.2</v>
      </c>
      <c r="H746" s="3">
        <f t="shared" si="15"/>
        <v>878400</v>
      </c>
    </row>
    <row r="747" spans="1:8" x14ac:dyDescent="0.35">
      <c r="A747">
        <v>737167009</v>
      </c>
      <c r="B747" t="s">
        <v>203</v>
      </c>
      <c r="C747" t="s">
        <v>92</v>
      </c>
      <c r="D747" t="s">
        <v>29</v>
      </c>
      <c r="E747" t="s">
        <v>14</v>
      </c>
      <c r="F747" s="3">
        <v>1098000</v>
      </c>
      <c r="G747" s="1">
        <v>0.2</v>
      </c>
      <c r="H747" s="3">
        <f t="shared" si="15"/>
        <v>878400</v>
      </c>
    </row>
    <row r="748" spans="1:8" x14ac:dyDescent="0.35">
      <c r="A748">
        <v>737167010</v>
      </c>
      <c r="B748" t="s">
        <v>535</v>
      </c>
      <c r="C748" t="s">
        <v>92</v>
      </c>
      <c r="D748" t="s">
        <v>29</v>
      </c>
      <c r="E748" t="s">
        <v>14</v>
      </c>
      <c r="F748" s="3">
        <v>1098000</v>
      </c>
      <c r="G748" s="1">
        <v>0.2</v>
      </c>
      <c r="H748" s="3">
        <f t="shared" si="15"/>
        <v>878400</v>
      </c>
    </row>
    <row r="749" spans="1:8" x14ac:dyDescent="0.35">
      <c r="A749">
        <v>737167011</v>
      </c>
      <c r="B749" t="s">
        <v>536</v>
      </c>
      <c r="C749" t="s">
        <v>92</v>
      </c>
      <c r="D749" t="s">
        <v>29</v>
      </c>
      <c r="E749" t="s">
        <v>14</v>
      </c>
      <c r="F749" s="3">
        <v>1098000</v>
      </c>
      <c r="G749" s="1">
        <v>0.2</v>
      </c>
      <c r="H749" s="3">
        <f t="shared" si="15"/>
        <v>878400</v>
      </c>
    </row>
    <row r="750" spans="1:8" x14ac:dyDescent="0.35">
      <c r="A750">
        <v>737167012</v>
      </c>
      <c r="B750" t="s">
        <v>204</v>
      </c>
      <c r="C750" t="s">
        <v>92</v>
      </c>
      <c r="D750" t="s">
        <v>29</v>
      </c>
      <c r="E750" t="s">
        <v>14</v>
      </c>
      <c r="F750" s="3">
        <v>1098000</v>
      </c>
      <c r="G750" s="1">
        <v>0.2</v>
      </c>
      <c r="H750" s="3">
        <f t="shared" si="15"/>
        <v>878400</v>
      </c>
    </row>
    <row r="751" spans="1:8" x14ac:dyDescent="0.35">
      <c r="A751">
        <v>737167013</v>
      </c>
      <c r="B751" t="s">
        <v>208</v>
      </c>
      <c r="C751" t="s">
        <v>92</v>
      </c>
      <c r="D751" t="s">
        <v>29</v>
      </c>
      <c r="E751" t="s">
        <v>14</v>
      </c>
      <c r="F751" s="3">
        <v>1098000</v>
      </c>
      <c r="G751" s="1">
        <v>0.2</v>
      </c>
      <c r="H751" s="3">
        <f t="shared" si="15"/>
        <v>878400</v>
      </c>
    </row>
    <row r="752" spans="1:8" x14ac:dyDescent="0.35">
      <c r="A752">
        <v>737167014</v>
      </c>
      <c r="B752" t="s">
        <v>537</v>
      </c>
      <c r="C752" t="s">
        <v>92</v>
      </c>
      <c r="D752" t="s">
        <v>29</v>
      </c>
      <c r="E752" t="s">
        <v>14</v>
      </c>
      <c r="F752" s="3">
        <v>1098000</v>
      </c>
      <c r="G752" s="1">
        <v>0.2</v>
      </c>
      <c r="H752" s="3">
        <f t="shared" si="15"/>
        <v>878400</v>
      </c>
    </row>
    <row r="753" spans="1:8" x14ac:dyDescent="0.35">
      <c r="A753">
        <v>737167015</v>
      </c>
      <c r="B753" t="s">
        <v>538</v>
      </c>
      <c r="C753" t="s">
        <v>92</v>
      </c>
      <c r="D753" t="s">
        <v>29</v>
      </c>
      <c r="E753" t="s">
        <v>14</v>
      </c>
      <c r="F753" s="3">
        <v>1098000</v>
      </c>
      <c r="G753" s="1">
        <v>0.2</v>
      </c>
      <c r="H753" s="3">
        <f t="shared" si="15"/>
        <v>878400</v>
      </c>
    </row>
    <row r="754" spans="1:8" x14ac:dyDescent="0.35">
      <c r="A754">
        <v>737167016</v>
      </c>
      <c r="B754" t="s">
        <v>539</v>
      </c>
      <c r="C754" t="s">
        <v>92</v>
      </c>
      <c r="D754" t="s">
        <v>29</v>
      </c>
      <c r="E754" t="s">
        <v>14</v>
      </c>
      <c r="F754" s="3">
        <v>1098000</v>
      </c>
      <c r="G754" s="1">
        <v>0.2</v>
      </c>
      <c r="H754" s="3">
        <f t="shared" si="15"/>
        <v>878400</v>
      </c>
    </row>
    <row r="755" spans="1:8" x14ac:dyDescent="0.35">
      <c r="A755">
        <v>737167017</v>
      </c>
      <c r="B755" t="s">
        <v>540</v>
      </c>
      <c r="C755" t="s">
        <v>92</v>
      </c>
      <c r="D755" t="s">
        <v>29</v>
      </c>
      <c r="E755" t="s">
        <v>14</v>
      </c>
      <c r="F755" s="3">
        <v>1098000</v>
      </c>
      <c r="G755" s="1">
        <v>0.2</v>
      </c>
      <c r="H755" s="3">
        <f t="shared" si="15"/>
        <v>878400</v>
      </c>
    </row>
    <row r="756" spans="1:8" x14ac:dyDescent="0.35">
      <c r="A756">
        <v>737168001</v>
      </c>
      <c r="B756" t="s">
        <v>214</v>
      </c>
      <c r="C756" t="s">
        <v>92</v>
      </c>
      <c r="D756" t="s">
        <v>29</v>
      </c>
      <c r="E756" t="s">
        <v>14</v>
      </c>
      <c r="F756" s="3">
        <v>1198000</v>
      </c>
      <c r="G756" s="1">
        <v>0.2</v>
      </c>
      <c r="H756" s="3">
        <f t="shared" si="15"/>
        <v>958400</v>
      </c>
    </row>
    <row r="757" spans="1:8" x14ac:dyDescent="0.35">
      <c r="A757">
        <v>737168004</v>
      </c>
      <c r="B757" t="s">
        <v>212</v>
      </c>
      <c r="C757" t="s">
        <v>92</v>
      </c>
      <c r="D757" t="s">
        <v>29</v>
      </c>
      <c r="E757" t="s">
        <v>14</v>
      </c>
      <c r="F757" s="3">
        <v>1198000</v>
      </c>
      <c r="G757" s="1">
        <v>0.2</v>
      </c>
      <c r="H757" s="3">
        <f t="shared" si="15"/>
        <v>958400</v>
      </c>
    </row>
    <row r="758" spans="1:8" x14ac:dyDescent="0.35">
      <c r="A758">
        <v>737168005</v>
      </c>
      <c r="B758" t="s">
        <v>541</v>
      </c>
      <c r="C758" t="s">
        <v>92</v>
      </c>
      <c r="D758" t="s">
        <v>29</v>
      </c>
      <c r="E758" t="s">
        <v>14</v>
      </c>
      <c r="F758" s="3">
        <v>1198000</v>
      </c>
      <c r="G758" s="1">
        <v>0.2</v>
      </c>
      <c r="H758" s="3">
        <f t="shared" si="15"/>
        <v>958400</v>
      </c>
    </row>
    <row r="759" spans="1:8" x14ac:dyDescent="0.35">
      <c r="A759">
        <v>737168010</v>
      </c>
      <c r="B759" t="s">
        <v>213</v>
      </c>
      <c r="C759" t="s">
        <v>92</v>
      </c>
      <c r="D759" t="s">
        <v>29</v>
      </c>
      <c r="E759" t="s">
        <v>14</v>
      </c>
      <c r="F759" s="3">
        <v>1198000</v>
      </c>
      <c r="G759" s="1">
        <v>0.2</v>
      </c>
      <c r="H759" s="3">
        <f t="shared" si="15"/>
        <v>958400</v>
      </c>
    </row>
    <row r="760" spans="1:8" x14ac:dyDescent="0.35">
      <c r="A760">
        <v>733005007</v>
      </c>
      <c r="B760" t="s">
        <v>1042</v>
      </c>
      <c r="C760" t="s">
        <v>89</v>
      </c>
      <c r="D760" t="s">
        <v>29</v>
      </c>
      <c r="E760" t="s">
        <v>14</v>
      </c>
      <c r="F760" s="3">
        <v>378000</v>
      </c>
      <c r="G760" s="1">
        <v>0.5</v>
      </c>
      <c r="H760" s="3">
        <f t="shared" si="15"/>
        <v>189000</v>
      </c>
    </row>
    <row r="761" spans="1:8" x14ac:dyDescent="0.35">
      <c r="A761">
        <v>733005009</v>
      </c>
      <c r="B761" t="s">
        <v>1043</v>
      </c>
      <c r="C761" t="s">
        <v>89</v>
      </c>
      <c r="D761" t="s">
        <v>29</v>
      </c>
      <c r="E761" t="s">
        <v>14</v>
      </c>
      <c r="F761" s="3">
        <v>378000</v>
      </c>
      <c r="G761" s="1">
        <v>0.5</v>
      </c>
      <c r="H761" s="3">
        <f t="shared" si="15"/>
        <v>189000</v>
      </c>
    </row>
    <row r="762" spans="1:8" x14ac:dyDescent="0.35">
      <c r="A762">
        <v>733006003</v>
      </c>
      <c r="B762" t="s">
        <v>1044</v>
      </c>
      <c r="C762" t="s">
        <v>89</v>
      </c>
      <c r="D762" t="s">
        <v>29</v>
      </c>
      <c r="E762" t="s">
        <v>14</v>
      </c>
      <c r="F762" s="3">
        <v>428000</v>
      </c>
      <c r="G762" s="1">
        <v>0.5</v>
      </c>
      <c r="H762" s="3">
        <f t="shared" si="15"/>
        <v>214000</v>
      </c>
    </row>
    <row r="763" spans="1:8" x14ac:dyDescent="0.35">
      <c r="A763">
        <v>734108005</v>
      </c>
      <c r="B763" t="s">
        <v>1045</v>
      </c>
      <c r="C763" t="s">
        <v>89</v>
      </c>
      <c r="D763" t="s">
        <v>29</v>
      </c>
      <c r="E763" t="s">
        <v>14</v>
      </c>
      <c r="F763" s="3">
        <v>448000</v>
      </c>
      <c r="G763" s="1">
        <v>0.5</v>
      </c>
      <c r="H763" s="3">
        <f t="shared" si="15"/>
        <v>224000</v>
      </c>
    </row>
    <row r="764" spans="1:8" x14ac:dyDescent="0.35">
      <c r="A764">
        <v>734108006</v>
      </c>
      <c r="B764" t="s">
        <v>1046</v>
      </c>
      <c r="C764" t="s">
        <v>89</v>
      </c>
      <c r="D764" t="s">
        <v>29</v>
      </c>
      <c r="E764" t="s">
        <v>14</v>
      </c>
      <c r="F764" s="3">
        <v>448000</v>
      </c>
      <c r="G764" s="1">
        <v>0.5</v>
      </c>
      <c r="H764" s="3">
        <f t="shared" si="15"/>
        <v>224000</v>
      </c>
    </row>
    <row r="765" spans="1:8" x14ac:dyDescent="0.35">
      <c r="A765">
        <v>734108009</v>
      </c>
      <c r="B765" t="s">
        <v>1047</v>
      </c>
      <c r="C765" t="s">
        <v>89</v>
      </c>
      <c r="D765" t="s">
        <v>29</v>
      </c>
      <c r="E765" t="s">
        <v>14</v>
      </c>
      <c r="F765" s="3">
        <v>448000</v>
      </c>
      <c r="G765" s="1">
        <v>0.5</v>
      </c>
      <c r="H765" s="3">
        <f t="shared" si="15"/>
        <v>224000</v>
      </c>
    </row>
    <row r="766" spans="1:8" x14ac:dyDescent="0.35">
      <c r="A766">
        <v>734109005</v>
      </c>
      <c r="B766" t="s">
        <v>1048</v>
      </c>
      <c r="C766" t="s">
        <v>89</v>
      </c>
      <c r="D766" t="s">
        <v>29</v>
      </c>
      <c r="E766" t="s">
        <v>14</v>
      </c>
      <c r="F766" s="3">
        <v>448000</v>
      </c>
      <c r="G766" s="1">
        <v>0.5</v>
      </c>
      <c r="H766" s="3">
        <f t="shared" si="15"/>
        <v>224000</v>
      </c>
    </row>
    <row r="767" spans="1:8" x14ac:dyDescent="0.35">
      <c r="A767">
        <v>734111005</v>
      </c>
      <c r="B767" t="s">
        <v>1049</v>
      </c>
      <c r="C767" t="s">
        <v>89</v>
      </c>
      <c r="D767" t="s">
        <v>29</v>
      </c>
      <c r="E767" t="s">
        <v>14</v>
      </c>
      <c r="F767" s="3">
        <v>628000</v>
      </c>
      <c r="G767" s="1">
        <v>0.5</v>
      </c>
      <c r="H767" s="3">
        <f t="shared" si="15"/>
        <v>314000</v>
      </c>
    </row>
    <row r="768" spans="1:8" x14ac:dyDescent="0.35">
      <c r="A768">
        <v>734111015</v>
      </c>
      <c r="B768" t="s">
        <v>1050</v>
      </c>
      <c r="C768" t="s">
        <v>89</v>
      </c>
      <c r="D768" t="s">
        <v>29</v>
      </c>
      <c r="E768" t="s">
        <v>14</v>
      </c>
      <c r="F768" s="3">
        <v>628000</v>
      </c>
      <c r="G768" s="1">
        <v>0.5</v>
      </c>
      <c r="H768" s="3">
        <f t="shared" si="15"/>
        <v>314000</v>
      </c>
    </row>
    <row r="769" spans="1:8" x14ac:dyDescent="0.35">
      <c r="A769">
        <v>734111019</v>
      </c>
      <c r="B769" t="s">
        <v>1051</v>
      </c>
      <c r="C769" t="s">
        <v>89</v>
      </c>
      <c r="D769" t="s">
        <v>29</v>
      </c>
      <c r="E769" t="s">
        <v>14</v>
      </c>
      <c r="F769" s="3">
        <v>628000</v>
      </c>
      <c r="G769" s="1">
        <v>0.5</v>
      </c>
      <c r="H769" s="3">
        <f t="shared" si="15"/>
        <v>314000</v>
      </c>
    </row>
    <row r="770" spans="1:8" x14ac:dyDescent="0.35">
      <c r="A770">
        <v>734111020</v>
      </c>
      <c r="B770" t="s">
        <v>1052</v>
      </c>
      <c r="C770" t="s">
        <v>89</v>
      </c>
      <c r="D770" t="s">
        <v>29</v>
      </c>
      <c r="E770" t="s">
        <v>14</v>
      </c>
      <c r="F770" s="3">
        <v>628000</v>
      </c>
      <c r="G770" s="1">
        <v>0.5</v>
      </c>
      <c r="H770" s="3">
        <f t="shared" ref="H770:H801" si="16">F770*(1-G770)</f>
        <v>314000</v>
      </c>
    </row>
    <row r="771" spans="1:8" x14ac:dyDescent="0.35">
      <c r="A771">
        <v>734111021</v>
      </c>
      <c r="B771" t="s">
        <v>1053</v>
      </c>
      <c r="C771" t="s">
        <v>89</v>
      </c>
      <c r="D771" t="s">
        <v>29</v>
      </c>
      <c r="E771" t="s">
        <v>14</v>
      </c>
      <c r="F771" s="3">
        <v>628000</v>
      </c>
      <c r="G771" s="1">
        <v>0.5</v>
      </c>
      <c r="H771" s="3">
        <f t="shared" si="16"/>
        <v>314000</v>
      </c>
    </row>
    <row r="772" spans="1:8" x14ac:dyDescent="0.35">
      <c r="A772">
        <v>734111022</v>
      </c>
      <c r="B772" t="s">
        <v>1054</v>
      </c>
      <c r="C772" t="s">
        <v>89</v>
      </c>
      <c r="D772" t="s">
        <v>29</v>
      </c>
      <c r="E772" t="s">
        <v>14</v>
      </c>
      <c r="F772" s="3">
        <v>628000</v>
      </c>
      <c r="G772" s="1">
        <v>0.5</v>
      </c>
      <c r="H772" s="3">
        <f t="shared" si="16"/>
        <v>314000</v>
      </c>
    </row>
    <row r="773" spans="1:8" x14ac:dyDescent="0.35">
      <c r="A773">
        <v>734111023</v>
      </c>
      <c r="B773" t="s">
        <v>1055</v>
      </c>
      <c r="C773" t="s">
        <v>89</v>
      </c>
      <c r="D773" t="s">
        <v>29</v>
      </c>
      <c r="E773" t="s">
        <v>14</v>
      </c>
      <c r="F773" s="3">
        <v>628000</v>
      </c>
      <c r="G773" s="1">
        <v>0.5</v>
      </c>
      <c r="H773" s="3">
        <f t="shared" si="16"/>
        <v>314000</v>
      </c>
    </row>
    <row r="774" spans="1:8" x14ac:dyDescent="0.35">
      <c r="A774">
        <v>734111031</v>
      </c>
      <c r="B774" t="s">
        <v>1056</v>
      </c>
      <c r="C774" t="s">
        <v>89</v>
      </c>
      <c r="D774" t="s">
        <v>29</v>
      </c>
      <c r="E774" t="s">
        <v>14</v>
      </c>
      <c r="F774" s="3">
        <v>628000</v>
      </c>
      <c r="G774" s="1">
        <v>0.5</v>
      </c>
      <c r="H774" s="3">
        <f t="shared" si="16"/>
        <v>314000</v>
      </c>
    </row>
    <row r="775" spans="1:8" x14ac:dyDescent="0.35">
      <c r="A775">
        <v>734111032</v>
      </c>
      <c r="B775" t="s">
        <v>1057</v>
      </c>
      <c r="C775" t="s">
        <v>89</v>
      </c>
      <c r="D775" t="s">
        <v>29</v>
      </c>
      <c r="E775" t="s">
        <v>14</v>
      </c>
      <c r="F775" s="3">
        <v>628000</v>
      </c>
      <c r="G775" s="1">
        <v>0.5</v>
      </c>
      <c r="H775" s="3">
        <f t="shared" si="16"/>
        <v>314000</v>
      </c>
    </row>
    <row r="776" spans="1:8" x14ac:dyDescent="0.35">
      <c r="A776">
        <v>734112011</v>
      </c>
      <c r="B776" t="s">
        <v>1058</v>
      </c>
      <c r="C776" t="s">
        <v>89</v>
      </c>
      <c r="D776" t="s">
        <v>29</v>
      </c>
      <c r="E776" t="s">
        <v>14</v>
      </c>
      <c r="F776" s="3">
        <v>628000</v>
      </c>
      <c r="G776" s="1">
        <v>0.5</v>
      </c>
      <c r="H776" s="3">
        <f t="shared" si="16"/>
        <v>314000</v>
      </c>
    </row>
    <row r="777" spans="1:8" x14ac:dyDescent="0.35">
      <c r="A777">
        <v>734112013</v>
      </c>
      <c r="B777" t="s">
        <v>1059</v>
      </c>
      <c r="C777" t="s">
        <v>89</v>
      </c>
      <c r="D777" t="s">
        <v>29</v>
      </c>
      <c r="E777" t="s">
        <v>14</v>
      </c>
      <c r="F777" s="3">
        <v>628000</v>
      </c>
      <c r="G777" s="1">
        <v>0.5</v>
      </c>
      <c r="H777" s="3">
        <f t="shared" si="16"/>
        <v>314000</v>
      </c>
    </row>
    <row r="778" spans="1:8" x14ac:dyDescent="0.35">
      <c r="A778">
        <v>734112015</v>
      </c>
      <c r="B778" t="s">
        <v>1060</v>
      </c>
      <c r="C778" t="s">
        <v>89</v>
      </c>
      <c r="D778" t="s">
        <v>29</v>
      </c>
      <c r="E778" t="s">
        <v>14</v>
      </c>
      <c r="F778" s="3">
        <v>628000</v>
      </c>
      <c r="G778" s="1">
        <v>0.5</v>
      </c>
      <c r="H778" s="3">
        <f t="shared" si="16"/>
        <v>314000</v>
      </c>
    </row>
    <row r="779" spans="1:8" x14ac:dyDescent="0.35">
      <c r="A779">
        <v>734112020</v>
      </c>
      <c r="B779" t="s">
        <v>1061</v>
      </c>
      <c r="C779" t="s">
        <v>89</v>
      </c>
      <c r="D779" t="s">
        <v>29</v>
      </c>
      <c r="E779" t="s">
        <v>14</v>
      </c>
      <c r="F779" s="3">
        <v>628000</v>
      </c>
      <c r="G779" s="1">
        <v>0.5</v>
      </c>
      <c r="H779" s="3">
        <f t="shared" si="16"/>
        <v>314000</v>
      </c>
    </row>
    <row r="780" spans="1:8" x14ac:dyDescent="0.35">
      <c r="A780">
        <v>734112021</v>
      </c>
      <c r="B780" t="s">
        <v>1062</v>
      </c>
      <c r="C780" t="s">
        <v>89</v>
      </c>
      <c r="D780" t="s">
        <v>29</v>
      </c>
      <c r="E780" t="s">
        <v>14</v>
      </c>
      <c r="F780" s="3">
        <v>628000</v>
      </c>
      <c r="G780" s="1">
        <v>0.5</v>
      </c>
      <c r="H780" s="3">
        <f t="shared" si="16"/>
        <v>314000</v>
      </c>
    </row>
    <row r="781" spans="1:8" x14ac:dyDescent="0.35">
      <c r="A781">
        <v>734112022</v>
      </c>
      <c r="B781" t="s">
        <v>1063</v>
      </c>
      <c r="C781" t="s">
        <v>89</v>
      </c>
      <c r="D781" t="s">
        <v>29</v>
      </c>
      <c r="E781" t="s">
        <v>14</v>
      </c>
      <c r="F781" s="3">
        <v>628000</v>
      </c>
      <c r="G781" s="1">
        <v>0.5</v>
      </c>
      <c r="H781" s="3">
        <f t="shared" si="16"/>
        <v>314000</v>
      </c>
    </row>
    <row r="782" spans="1:8" x14ac:dyDescent="0.35">
      <c r="A782">
        <v>734112027</v>
      </c>
      <c r="B782" t="s">
        <v>1064</v>
      </c>
      <c r="C782" t="s">
        <v>89</v>
      </c>
      <c r="D782" t="s">
        <v>29</v>
      </c>
      <c r="E782" t="s">
        <v>14</v>
      </c>
      <c r="F782" s="3">
        <v>628000</v>
      </c>
      <c r="G782" s="1">
        <v>0.5</v>
      </c>
      <c r="H782" s="3">
        <f t="shared" si="16"/>
        <v>314000</v>
      </c>
    </row>
    <row r="783" spans="1:8" x14ac:dyDescent="0.35">
      <c r="A783">
        <v>734112028</v>
      </c>
      <c r="B783" t="s">
        <v>1065</v>
      </c>
      <c r="C783" t="s">
        <v>89</v>
      </c>
      <c r="D783" t="s">
        <v>29</v>
      </c>
      <c r="E783" t="s">
        <v>14</v>
      </c>
      <c r="F783" s="3">
        <v>628000</v>
      </c>
      <c r="G783" s="1">
        <v>0.5</v>
      </c>
      <c r="H783" s="3">
        <f t="shared" si="16"/>
        <v>314000</v>
      </c>
    </row>
    <row r="784" spans="1:8" x14ac:dyDescent="0.35">
      <c r="A784">
        <v>736218007</v>
      </c>
      <c r="B784" t="s">
        <v>1066</v>
      </c>
      <c r="C784" t="s">
        <v>89</v>
      </c>
      <c r="D784" t="s">
        <v>29</v>
      </c>
      <c r="E784" t="s">
        <v>14</v>
      </c>
      <c r="F784" s="3">
        <v>478000</v>
      </c>
      <c r="G784" s="1">
        <v>0.5</v>
      </c>
      <c r="H784" s="3">
        <f t="shared" si="16"/>
        <v>239000</v>
      </c>
    </row>
    <row r="785" spans="1:8" x14ac:dyDescent="0.35">
      <c r="A785">
        <v>736218014</v>
      </c>
      <c r="B785" t="s">
        <v>1067</v>
      </c>
      <c r="C785" t="s">
        <v>89</v>
      </c>
      <c r="D785" t="s">
        <v>29</v>
      </c>
      <c r="E785" t="s">
        <v>14</v>
      </c>
      <c r="F785" s="3">
        <v>478000</v>
      </c>
      <c r="G785" s="1">
        <v>0.5</v>
      </c>
      <c r="H785" s="3">
        <f t="shared" si="16"/>
        <v>239000</v>
      </c>
    </row>
    <row r="786" spans="1:8" x14ac:dyDescent="0.35">
      <c r="A786">
        <v>736220001</v>
      </c>
      <c r="B786" t="s">
        <v>1068</v>
      </c>
      <c r="C786" t="s">
        <v>89</v>
      </c>
      <c r="D786" t="s">
        <v>29</v>
      </c>
      <c r="E786" t="s">
        <v>14</v>
      </c>
      <c r="F786" s="3">
        <v>328000</v>
      </c>
      <c r="G786" s="1">
        <v>0.5</v>
      </c>
      <c r="H786" s="3">
        <f t="shared" si="16"/>
        <v>164000</v>
      </c>
    </row>
    <row r="787" spans="1:8" x14ac:dyDescent="0.35">
      <c r="A787">
        <v>737976001</v>
      </c>
      <c r="B787" t="s">
        <v>1069</v>
      </c>
      <c r="C787" t="s">
        <v>89</v>
      </c>
      <c r="D787" t="s">
        <v>29</v>
      </c>
      <c r="E787" t="s">
        <v>14</v>
      </c>
      <c r="F787" s="3">
        <v>598000</v>
      </c>
      <c r="G787" s="1">
        <v>0.5</v>
      </c>
      <c r="H787" s="3">
        <f t="shared" si="16"/>
        <v>299000</v>
      </c>
    </row>
    <row r="788" spans="1:8" x14ac:dyDescent="0.35">
      <c r="A788">
        <v>737976002</v>
      </c>
      <c r="B788" t="s">
        <v>1070</v>
      </c>
      <c r="C788" t="s">
        <v>89</v>
      </c>
      <c r="D788" t="s">
        <v>29</v>
      </c>
      <c r="E788" t="s">
        <v>14</v>
      </c>
      <c r="F788" s="3">
        <v>598000</v>
      </c>
      <c r="G788" s="1">
        <v>0.5</v>
      </c>
      <c r="H788" s="3">
        <f t="shared" si="16"/>
        <v>299000</v>
      </c>
    </row>
    <row r="789" spans="1:8" x14ac:dyDescent="0.35">
      <c r="A789">
        <v>737976009</v>
      </c>
      <c r="B789" t="s">
        <v>1071</v>
      </c>
      <c r="C789" t="s">
        <v>89</v>
      </c>
      <c r="D789" t="s">
        <v>29</v>
      </c>
      <c r="E789" t="s">
        <v>14</v>
      </c>
      <c r="F789" s="3">
        <v>598000</v>
      </c>
      <c r="G789" s="1">
        <v>0.5</v>
      </c>
      <c r="H789" s="3">
        <f t="shared" si="16"/>
        <v>299000</v>
      </c>
    </row>
    <row r="790" spans="1:8" x14ac:dyDescent="0.35">
      <c r="A790">
        <v>737976010</v>
      </c>
      <c r="B790" t="s">
        <v>1072</v>
      </c>
      <c r="C790" t="s">
        <v>89</v>
      </c>
      <c r="D790" t="s">
        <v>29</v>
      </c>
      <c r="E790" t="s">
        <v>14</v>
      </c>
      <c r="F790" s="3">
        <v>598000</v>
      </c>
      <c r="G790" s="1">
        <v>0.5</v>
      </c>
      <c r="H790" s="3">
        <f t="shared" si="16"/>
        <v>299000</v>
      </c>
    </row>
    <row r="791" spans="1:8" x14ac:dyDescent="0.35">
      <c r="A791">
        <v>737976015</v>
      </c>
      <c r="B791" t="s">
        <v>1073</v>
      </c>
      <c r="C791" t="s">
        <v>89</v>
      </c>
      <c r="D791" t="s">
        <v>29</v>
      </c>
      <c r="E791" t="s">
        <v>14</v>
      </c>
      <c r="F791" s="3">
        <v>598000</v>
      </c>
      <c r="G791" s="1">
        <v>0.5</v>
      </c>
      <c r="H791" s="3">
        <f t="shared" si="16"/>
        <v>299000</v>
      </c>
    </row>
    <row r="792" spans="1:8" x14ac:dyDescent="0.35">
      <c r="A792">
        <v>737976016</v>
      </c>
      <c r="B792" t="s">
        <v>1074</v>
      </c>
      <c r="C792" t="s">
        <v>89</v>
      </c>
      <c r="D792" t="s">
        <v>29</v>
      </c>
      <c r="E792" t="s">
        <v>14</v>
      </c>
      <c r="F792" s="3">
        <v>598000</v>
      </c>
      <c r="G792" s="1">
        <v>0.5</v>
      </c>
      <c r="H792" s="3">
        <f t="shared" si="16"/>
        <v>299000</v>
      </c>
    </row>
    <row r="793" spans="1:8" x14ac:dyDescent="0.35">
      <c r="A793">
        <v>737976018</v>
      </c>
      <c r="B793" t="s">
        <v>1075</v>
      </c>
      <c r="C793" t="s">
        <v>89</v>
      </c>
      <c r="D793" t="s">
        <v>29</v>
      </c>
      <c r="E793" t="s">
        <v>14</v>
      </c>
      <c r="F793" s="3">
        <v>598000</v>
      </c>
      <c r="G793" s="1">
        <v>0.5</v>
      </c>
      <c r="H793" s="3">
        <f t="shared" si="16"/>
        <v>299000</v>
      </c>
    </row>
    <row r="794" spans="1:8" x14ac:dyDescent="0.35">
      <c r="A794">
        <v>737976019</v>
      </c>
      <c r="B794" t="s">
        <v>1076</v>
      </c>
      <c r="C794" t="s">
        <v>89</v>
      </c>
      <c r="D794" t="s">
        <v>29</v>
      </c>
      <c r="E794" t="s">
        <v>14</v>
      </c>
      <c r="F794" s="3">
        <v>598000</v>
      </c>
      <c r="G794" s="1">
        <v>0.5</v>
      </c>
      <c r="H794" s="3">
        <f t="shared" si="16"/>
        <v>299000</v>
      </c>
    </row>
    <row r="795" spans="1:8" x14ac:dyDescent="0.35">
      <c r="A795">
        <v>737977008</v>
      </c>
      <c r="B795" t="s">
        <v>1077</v>
      </c>
      <c r="C795" t="s">
        <v>89</v>
      </c>
      <c r="D795" t="s">
        <v>29</v>
      </c>
      <c r="E795" t="s">
        <v>14</v>
      </c>
      <c r="F795" s="3">
        <v>648000</v>
      </c>
      <c r="G795" s="1">
        <v>0.5</v>
      </c>
      <c r="H795" s="3">
        <f t="shared" si="16"/>
        <v>324000</v>
      </c>
    </row>
    <row r="796" spans="1:8" x14ac:dyDescent="0.35">
      <c r="A796">
        <v>737977009</v>
      </c>
      <c r="B796" t="s">
        <v>1078</v>
      </c>
      <c r="C796" t="s">
        <v>89</v>
      </c>
      <c r="D796" t="s">
        <v>29</v>
      </c>
      <c r="E796" t="s">
        <v>14</v>
      </c>
      <c r="F796" s="3">
        <v>648000</v>
      </c>
      <c r="G796" s="1">
        <v>0.5</v>
      </c>
      <c r="H796" s="3">
        <f t="shared" si="16"/>
        <v>324000</v>
      </c>
    </row>
    <row r="797" spans="1:8" x14ac:dyDescent="0.35">
      <c r="A797">
        <v>737977015</v>
      </c>
      <c r="B797" t="s">
        <v>1079</v>
      </c>
      <c r="C797" t="s">
        <v>89</v>
      </c>
      <c r="D797" t="s">
        <v>29</v>
      </c>
      <c r="E797" t="s">
        <v>14</v>
      </c>
      <c r="F797" s="3">
        <v>648000</v>
      </c>
      <c r="G797" s="1">
        <v>0.5</v>
      </c>
      <c r="H797" s="3">
        <f t="shared" si="16"/>
        <v>324000</v>
      </c>
    </row>
    <row r="798" spans="1:8" x14ac:dyDescent="0.35">
      <c r="A798">
        <v>737977016</v>
      </c>
      <c r="B798" t="s">
        <v>1080</v>
      </c>
      <c r="C798" t="s">
        <v>89</v>
      </c>
      <c r="D798" t="s">
        <v>29</v>
      </c>
      <c r="E798" t="s">
        <v>14</v>
      </c>
      <c r="F798" s="3">
        <v>648000</v>
      </c>
      <c r="G798" s="1">
        <v>0.5</v>
      </c>
      <c r="H798" s="3">
        <f t="shared" si="16"/>
        <v>324000</v>
      </c>
    </row>
    <row r="799" spans="1:8" x14ac:dyDescent="0.35">
      <c r="A799">
        <v>726124001</v>
      </c>
      <c r="B799" t="s">
        <v>1081</v>
      </c>
      <c r="C799" t="s">
        <v>391</v>
      </c>
      <c r="D799" t="s">
        <v>401</v>
      </c>
      <c r="E799" t="s">
        <v>14</v>
      </c>
      <c r="F799" s="3">
        <v>448000</v>
      </c>
      <c r="G799" s="1">
        <v>0.5</v>
      </c>
      <c r="H799" s="3">
        <f t="shared" si="16"/>
        <v>224000</v>
      </c>
    </row>
    <row r="800" spans="1:8" x14ac:dyDescent="0.35">
      <c r="A800">
        <v>727309001</v>
      </c>
      <c r="B800" t="s">
        <v>1082</v>
      </c>
      <c r="C800" t="s">
        <v>368</v>
      </c>
      <c r="D800" t="s">
        <v>401</v>
      </c>
      <c r="E800" t="s">
        <v>14</v>
      </c>
      <c r="F800" s="3">
        <v>158000</v>
      </c>
      <c r="G800" s="1">
        <v>0.5</v>
      </c>
      <c r="H800" s="3">
        <f t="shared" si="16"/>
        <v>79000</v>
      </c>
    </row>
    <row r="801" spans="1:8" x14ac:dyDescent="0.35">
      <c r="A801">
        <v>727310001</v>
      </c>
      <c r="B801" t="s">
        <v>1083</v>
      </c>
      <c r="C801" t="s">
        <v>368</v>
      </c>
      <c r="D801" t="s">
        <v>401</v>
      </c>
      <c r="E801" t="s">
        <v>14</v>
      </c>
      <c r="F801" s="3">
        <v>178000</v>
      </c>
      <c r="G801" s="1">
        <v>0.5</v>
      </c>
      <c r="H801" s="3">
        <f t="shared" si="16"/>
        <v>89000</v>
      </c>
    </row>
    <row r="802" spans="1:8" x14ac:dyDescent="0.35">
      <c r="A802">
        <v>727996001</v>
      </c>
      <c r="B802" t="s">
        <v>1084</v>
      </c>
      <c r="C802" t="s">
        <v>368</v>
      </c>
      <c r="D802" t="s">
        <v>401</v>
      </c>
      <c r="E802" t="s">
        <v>14</v>
      </c>
      <c r="F802" s="3">
        <v>74000</v>
      </c>
      <c r="G802" s="3">
        <v>54000</v>
      </c>
      <c r="H802" s="4">
        <f>G802</f>
        <v>54000</v>
      </c>
    </row>
    <row r="803" spans="1:8" x14ac:dyDescent="0.35">
      <c r="A803">
        <v>732320001</v>
      </c>
      <c r="B803" t="s">
        <v>1085</v>
      </c>
      <c r="C803" t="s">
        <v>555</v>
      </c>
      <c r="D803" t="s">
        <v>401</v>
      </c>
      <c r="E803" t="s">
        <v>14</v>
      </c>
      <c r="F803" s="3">
        <v>598000</v>
      </c>
      <c r="G803" s="1">
        <v>0.7</v>
      </c>
      <c r="H803" s="3">
        <f t="shared" ref="H803:H812" si="17">F803*(1-G803)</f>
        <v>179400.00000000003</v>
      </c>
    </row>
    <row r="804" spans="1:8" x14ac:dyDescent="0.35">
      <c r="A804">
        <v>727979001</v>
      </c>
      <c r="B804" t="s">
        <v>1086</v>
      </c>
      <c r="C804" t="s">
        <v>368</v>
      </c>
      <c r="D804" t="s">
        <v>249</v>
      </c>
      <c r="E804" t="s">
        <v>14</v>
      </c>
      <c r="F804" s="3">
        <v>168000</v>
      </c>
      <c r="G804" s="1">
        <v>0.5</v>
      </c>
      <c r="H804" s="3">
        <f t="shared" si="17"/>
        <v>84000</v>
      </c>
    </row>
    <row r="805" spans="1:8" x14ac:dyDescent="0.35">
      <c r="A805">
        <v>727979002</v>
      </c>
      <c r="B805" t="s">
        <v>1087</v>
      </c>
      <c r="C805" t="s">
        <v>368</v>
      </c>
      <c r="D805" t="s">
        <v>249</v>
      </c>
      <c r="E805" t="s">
        <v>14</v>
      </c>
      <c r="F805" s="3">
        <v>168000</v>
      </c>
      <c r="G805" s="1">
        <v>0.5</v>
      </c>
      <c r="H805" s="3">
        <f t="shared" si="17"/>
        <v>84000</v>
      </c>
    </row>
    <row r="806" spans="1:8" x14ac:dyDescent="0.35">
      <c r="A806">
        <v>727979003</v>
      </c>
      <c r="B806" t="s">
        <v>1088</v>
      </c>
      <c r="C806" t="s">
        <v>368</v>
      </c>
      <c r="D806" t="s">
        <v>249</v>
      </c>
      <c r="E806" t="s">
        <v>14</v>
      </c>
      <c r="F806" s="3">
        <v>168000</v>
      </c>
      <c r="G806" s="1">
        <v>0.5</v>
      </c>
      <c r="H806" s="3">
        <f t="shared" si="17"/>
        <v>84000</v>
      </c>
    </row>
    <row r="807" spans="1:8" x14ac:dyDescent="0.35">
      <c r="A807">
        <v>727979004</v>
      </c>
      <c r="B807" t="s">
        <v>1089</v>
      </c>
      <c r="C807" t="s">
        <v>368</v>
      </c>
      <c r="D807" t="s">
        <v>249</v>
      </c>
      <c r="E807" t="s">
        <v>14</v>
      </c>
      <c r="F807" s="3">
        <v>168000</v>
      </c>
      <c r="G807" s="1">
        <v>0.5</v>
      </c>
      <c r="H807" s="3">
        <f t="shared" si="17"/>
        <v>84000</v>
      </c>
    </row>
    <row r="808" spans="1:8" x14ac:dyDescent="0.35">
      <c r="A808">
        <v>730523001</v>
      </c>
      <c r="B808" t="s">
        <v>248</v>
      </c>
      <c r="C808" t="s">
        <v>92</v>
      </c>
      <c r="D808" t="s">
        <v>249</v>
      </c>
      <c r="E808" t="s">
        <v>14</v>
      </c>
      <c r="F808" s="3">
        <v>498000</v>
      </c>
      <c r="G808" s="1">
        <v>0.2</v>
      </c>
      <c r="H808" s="3">
        <f t="shared" si="17"/>
        <v>398400</v>
      </c>
    </row>
    <row r="809" spans="1:8" x14ac:dyDescent="0.35">
      <c r="A809">
        <v>730523002</v>
      </c>
      <c r="B809" t="s">
        <v>250</v>
      </c>
      <c r="C809" t="s">
        <v>92</v>
      </c>
      <c r="D809" t="s">
        <v>249</v>
      </c>
      <c r="E809" t="s">
        <v>14</v>
      </c>
      <c r="F809" s="3">
        <v>498000</v>
      </c>
      <c r="G809" s="1">
        <v>0.2</v>
      </c>
      <c r="H809" s="3">
        <f t="shared" si="17"/>
        <v>398400</v>
      </c>
    </row>
    <row r="810" spans="1:8" x14ac:dyDescent="0.35">
      <c r="A810">
        <v>730523003</v>
      </c>
      <c r="B810" t="s">
        <v>251</v>
      </c>
      <c r="C810" t="s">
        <v>92</v>
      </c>
      <c r="D810" t="s">
        <v>249</v>
      </c>
      <c r="E810" t="s">
        <v>14</v>
      </c>
      <c r="F810" s="3">
        <v>498000</v>
      </c>
      <c r="G810" s="1">
        <v>0.2</v>
      </c>
      <c r="H810" s="3">
        <f t="shared" si="17"/>
        <v>398400</v>
      </c>
    </row>
    <row r="811" spans="1:8" x14ac:dyDescent="0.35">
      <c r="A811">
        <v>724456001</v>
      </c>
      <c r="B811" t="s">
        <v>1090</v>
      </c>
      <c r="C811" t="s">
        <v>63</v>
      </c>
      <c r="D811" t="s">
        <v>1091</v>
      </c>
      <c r="E811" t="s">
        <v>14</v>
      </c>
      <c r="F811" s="3">
        <v>298000</v>
      </c>
      <c r="G811" s="1">
        <v>0.2</v>
      </c>
      <c r="H811" s="3">
        <f t="shared" si="17"/>
        <v>238400</v>
      </c>
    </row>
    <row r="812" spans="1:8" x14ac:dyDescent="0.35">
      <c r="A812">
        <v>726880001</v>
      </c>
      <c r="B812" t="s">
        <v>1092</v>
      </c>
      <c r="C812" t="s">
        <v>63</v>
      </c>
      <c r="D812" t="s">
        <v>1091</v>
      </c>
      <c r="E812" t="s">
        <v>14</v>
      </c>
      <c r="F812" s="3">
        <v>398000</v>
      </c>
      <c r="G812" s="1">
        <v>0.2</v>
      </c>
      <c r="H812" s="3">
        <f t="shared" si="17"/>
        <v>318400</v>
      </c>
    </row>
    <row r="813" spans="1:8" x14ac:dyDescent="0.35">
      <c r="A813">
        <v>721722</v>
      </c>
      <c r="B813" t="s">
        <v>1093</v>
      </c>
      <c r="C813" t="s">
        <v>354</v>
      </c>
      <c r="D813" t="s">
        <v>1094</v>
      </c>
      <c r="E813" t="s">
        <v>14</v>
      </c>
      <c r="F813" s="3">
        <v>99000</v>
      </c>
      <c r="G813" s="3">
        <v>10000</v>
      </c>
      <c r="H813" s="4">
        <f>G813</f>
        <v>10000</v>
      </c>
    </row>
    <row r="814" spans="1:8" x14ac:dyDescent="0.35">
      <c r="A814">
        <v>700033</v>
      </c>
      <c r="B814" t="s">
        <v>1095</v>
      </c>
      <c r="C814" t="s">
        <v>1096</v>
      </c>
      <c r="D814" t="s">
        <v>1097</v>
      </c>
      <c r="E814" t="s">
        <v>14</v>
      </c>
      <c r="F814" s="3">
        <v>34000</v>
      </c>
      <c r="G814" s="1">
        <v>0.2</v>
      </c>
      <c r="H814" s="3">
        <f>F814*(1-G814)</f>
        <v>27200</v>
      </c>
    </row>
    <row r="815" spans="1:8" x14ac:dyDescent="0.35">
      <c r="A815">
        <v>738775</v>
      </c>
      <c r="B815" t="s">
        <v>1098</v>
      </c>
      <c r="C815" t="s">
        <v>365</v>
      </c>
      <c r="D815" t="s">
        <v>1097</v>
      </c>
      <c r="E815" t="s">
        <v>14</v>
      </c>
      <c r="F815" s="3">
        <v>99000</v>
      </c>
      <c r="G815" s="1">
        <v>0.2</v>
      </c>
      <c r="H815" s="3">
        <f>F815*(1-G815)</f>
        <v>79200</v>
      </c>
    </row>
    <row r="816" spans="1:8" x14ac:dyDescent="0.35">
      <c r="A816">
        <v>738810</v>
      </c>
      <c r="B816" t="s">
        <v>1099</v>
      </c>
      <c r="C816" t="s">
        <v>365</v>
      </c>
      <c r="D816" t="s">
        <v>1097</v>
      </c>
      <c r="E816" t="s">
        <v>14</v>
      </c>
      <c r="F816" s="3">
        <v>99000</v>
      </c>
      <c r="G816" s="1">
        <v>0.2</v>
      </c>
      <c r="H816" s="3">
        <f>F816*(1-G816)</f>
        <v>79200</v>
      </c>
    </row>
    <row r="817" spans="1:8" x14ac:dyDescent="0.35">
      <c r="A817">
        <v>201191</v>
      </c>
      <c r="B817" t="s">
        <v>1100</v>
      </c>
      <c r="C817" t="s">
        <v>1101</v>
      </c>
      <c r="D817" t="s">
        <v>1097</v>
      </c>
      <c r="E817" t="s">
        <v>14</v>
      </c>
      <c r="F817" s="3">
        <v>35000</v>
      </c>
      <c r="G817" s="1">
        <v>0.2</v>
      </c>
      <c r="H817" s="3">
        <f>F817*(1-G817)</f>
        <v>28000</v>
      </c>
    </row>
    <row r="818" spans="1:8" x14ac:dyDescent="0.35">
      <c r="A818">
        <v>201193</v>
      </c>
      <c r="B818" t="s">
        <v>1102</v>
      </c>
      <c r="C818" t="s">
        <v>1101</v>
      </c>
      <c r="D818" t="s">
        <v>1097</v>
      </c>
      <c r="E818" t="s">
        <v>14</v>
      </c>
      <c r="F818" s="3">
        <v>35000</v>
      </c>
      <c r="G818" s="1">
        <v>0.2</v>
      </c>
      <c r="H818" s="3">
        <f>F818*(1-G818)</f>
        <v>28000</v>
      </c>
    </row>
    <row r="819" spans="1:8" x14ac:dyDescent="0.35">
      <c r="A819">
        <v>200020</v>
      </c>
      <c r="B819" t="s">
        <v>1103</v>
      </c>
      <c r="C819" t="s">
        <v>426</v>
      </c>
      <c r="D819" t="s">
        <v>1097</v>
      </c>
      <c r="E819" t="s">
        <v>14</v>
      </c>
      <c r="F819" s="3">
        <v>14000</v>
      </c>
      <c r="G819" s="3">
        <v>10000</v>
      </c>
      <c r="H819" s="4">
        <f>G819</f>
        <v>10000</v>
      </c>
    </row>
    <row r="820" spans="1:8" x14ac:dyDescent="0.35">
      <c r="A820">
        <v>200025</v>
      </c>
      <c r="B820" t="s">
        <v>1104</v>
      </c>
      <c r="C820" t="s">
        <v>368</v>
      </c>
      <c r="D820" t="s">
        <v>1097</v>
      </c>
      <c r="E820" t="s">
        <v>14</v>
      </c>
      <c r="F820" s="3">
        <v>10000</v>
      </c>
      <c r="G820" s="1">
        <v>0.2</v>
      </c>
      <c r="H820" s="3">
        <f>F820*(1-G820)</f>
        <v>8000</v>
      </c>
    </row>
    <row r="821" spans="1:8" x14ac:dyDescent="0.35">
      <c r="A821">
        <v>200027</v>
      </c>
      <c r="B821" t="s">
        <v>1105</v>
      </c>
      <c r="C821" t="s">
        <v>368</v>
      </c>
      <c r="D821" t="s">
        <v>1097</v>
      </c>
      <c r="E821" t="s">
        <v>14</v>
      </c>
      <c r="F821" s="3">
        <v>10000</v>
      </c>
      <c r="G821" s="1">
        <v>0.2</v>
      </c>
      <c r="H821" s="3">
        <f>F821*(1-G821)</f>
        <v>8000</v>
      </c>
    </row>
    <row r="822" spans="1:8" x14ac:dyDescent="0.35">
      <c r="A822">
        <v>500013</v>
      </c>
      <c r="B822" t="s">
        <v>1106</v>
      </c>
      <c r="C822" t="s">
        <v>368</v>
      </c>
      <c r="D822" t="s">
        <v>1097</v>
      </c>
      <c r="E822" t="s">
        <v>14</v>
      </c>
      <c r="F822" s="3">
        <v>54000</v>
      </c>
      <c r="G822" s="3">
        <v>44000</v>
      </c>
      <c r="H822" s="4">
        <f>G822</f>
        <v>44000</v>
      </c>
    </row>
    <row r="823" spans="1:8" x14ac:dyDescent="0.35">
      <c r="A823">
        <v>500134</v>
      </c>
      <c r="B823" t="s">
        <v>1107</v>
      </c>
      <c r="C823" t="s">
        <v>368</v>
      </c>
      <c r="D823" t="s">
        <v>1097</v>
      </c>
      <c r="E823" t="s">
        <v>14</v>
      </c>
      <c r="F823" s="3">
        <v>55000</v>
      </c>
      <c r="G823" s="1">
        <v>0.7</v>
      </c>
      <c r="H823" s="3">
        <f>F823*(1-G823)</f>
        <v>16500.000000000004</v>
      </c>
    </row>
    <row r="824" spans="1:8" x14ac:dyDescent="0.35">
      <c r="A824">
        <v>700668</v>
      </c>
      <c r="B824" t="s">
        <v>1108</v>
      </c>
      <c r="C824" t="s">
        <v>368</v>
      </c>
      <c r="D824" t="s">
        <v>1097</v>
      </c>
      <c r="E824" t="s">
        <v>14</v>
      </c>
      <c r="F824" s="3">
        <v>99000</v>
      </c>
      <c r="G824" s="1">
        <v>0.7</v>
      </c>
      <c r="H824" s="3">
        <f>F824*(1-G824)</f>
        <v>29700.000000000004</v>
      </c>
    </row>
    <row r="825" spans="1:8" x14ac:dyDescent="0.35">
      <c r="A825">
        <v>715180</v>
      </c>
      <c r="B825" t="s">
        <v>1109</v>
      </c>
      <c r="C825" t="s">
        <v>368</v>
      </c>
      <c r="D825" t="s">
        <v>1097</v>
      </c>
      <c r="E825" t="s">
        <v>14</v>
      </c>
      <c r="F825" s="3">
        <v>19000</v>
      </c>
      <c r="G825" s="3">
        <v>14000</v>
      </c>
      <c r="H825" s="4">
        <f>G825</f>
        <v>14000</v>
      </c>
    </row>
    <row r="826" spans="1:8" x14ac:dyDescent="0.35">
      <c r="A826">
        <v>720768</v>
      </c>
      <c r="B826" t="s">
        <v>1110</v>
      </c>
      <c r="C826" t="s">
        <v>368</v>
      </c>
      <c r="D826" t="s">
        <v>1097</v>
      </c>
      <c r="E826" t="s">
        <v>14</v>
      </c>
      <c r="F826" s="3">
        <v>98000</v>
      </c>
      <c r="G826" s="1">
        <v>0.7</v>
      </c>
      <c r="H826" s="3">
        <f>F826*(1-G826)</f>
        <v>29400.000000000004</v>
      </c>
    </row>
    <row r="827" spans="1:8" x14ac:dyDescent="0.35">
      <c r="A827">
        <v>731844</v>
      </c>
      <c r="B827" t="s">
        <v>1111</v>
      </c>
      <c r="C827" t="s">
        <v>368</v>
      </c>
      <c r="D827" t="s">
        <v>1097</v>
      </c>
      <c r="E827" t="s">
        <v>14</v>
      </c>
      <c r="F827" s="3">
        <v>59000</v>
      </c>
      <c r="G827" s="1">
        <v>0.7</v>
      </c>
      <c r="H827" s="3">
        <f>F827*(1-G827)</f>
        <v>17700.000000000004</v>
      </c>
    </row>
    <row r="828" spans="1:8" x14ac:dyDescent="0.35">
      <c r="A828">
        <v>735518</v>
      </c>
      <c r="B828" t="s">
        <v>1112</v>
      </c>
      <c r="C828" t="s">
        <v>368</v>
      </c>
      <c r="D828" t="s">
        <v>1097</v>
      </c>
      <c r="E828" t="s">
        <v>14</v>
      </c>
      <c r="F828" s="3">
        <v>59000</v>
      </c>
      <c r="G828" s="1">
        <v>0.2</v>
      </c>
      <c r="H828" s="3">
        <f>F828*(1-G828)</f>
        <v>47200</v>
      </c>
    </row>
    <row r="829" spans="1:8" x14ac:dyDescent="0.35">
      <c r="A829">
        <v>200014</v>
      </c>
      <c r="B829" t="s">
        <v>1113</v>
      </c>
      <c r="C829" t="s">
        <v>92</v>
      </c>
      <c r="D829" t="s">
        <v>1097</v>
      </c>
      <c r="E829" t="s">
        <v>14</v>
      </c>
      <c r="F829" s="3">
        <v>19000</v>
      </c>
      <c r="G829" s="3">
        <v>10000</v>
      </c>
      <c r="H829" s="4">
        <f>G829</f>
        <v>10000</v>
      </c>
    </row>
    <row r="830" spans="1:8" x14ac:dyDescent="0.35">
      <c r="A830">
        <v>200015</v>
      </c>
      <c r="B830" t="s">
        <v>1114</v>
      </c>
      <c r="C830" t="s">
        <v>92</v>
      </c>
      <c r="D830" t="s">
        <v>1097</v>
      </c>
      <c r="E830" t="s">
        <v>14</v>
      </c>
      <c r="F830" s="3">
        <v>19000</v>
      </c>
      <c r="G830" s="3">
        <v>14000</v>
      </c>
      <c r="H830" s="4">
        <f>G830</f>
        <v>14000</v>
      </c>
    </row>
    <row r="831" spans="1:8" x14ac:dyDescent="0.35">
      <c r="A831">
        <v>200016</v>
      </c>
      <c r="B831" t="s">
        <v>1115</v>
      </c>
      <c r="C831" t="s">
        <v>92</v>
      </c>
      <c r="D831" t="s">
        <v>1097</v>
      </c>
      <c r="E831" t="s">
        <v>14</v>
      </c>
      <c r="F831" s="3">
        <v>19000</v>
      </c>
      <c r="G831" s="3">
        <v>14000</v>
      </c>
      <c r="H831" s="4">
        <f>G831</f>
        <v>14000</v>
      </c>
    </row>
    <row r="832" spans="1:8" x14ac:dyDescent="0.35">
      <c r="A832">
        <v>200018</v>
      </c>
      <c r="B832" t="s">
        <v>1116</v>
      </c>
      <c r="C832" t="s">
        <v>92</v>
      </c>
      <c r="D832" t="s">
        <v>1097</v>
      </c>
      <c r="E832" t="s">
        <v>14</v>
      </c>
      <c r="F832" s="3">
        <v>22000</v>
      </c>
      <c r="G832" s="3">
        <v>10000</v>
      </c>
      <c r="H832" s="4">
        <f>G832</f>
        <v>10000</v>
      </c>
    </row>
    <row r="833" spans="1:8" x14ac:dyDescent="0.35">
      <c r="A833">
        <v>201552</v>
      </c>
      <c r="B833" t="s">
        <v>1117</v>
      </c>
      <c r="C833" t="s">
        <v>92</v>
      </c>
      <c r="D833" t="s">
        <v>1097</v>
      </c>
      <c r="E833" t="s">
        <v>14</v>
      </c>
      <c r="F833" s="3">
        <v>198000</v>
      </c>
      <c r="G833" s="1">
        <v>0.5</v>
      </c>
      <c r="H833" s="3">
        <f>F833*(1-G833)</f>
        <v>99000</v>
      </c>
    </row>
    <row r="834" spans="1:8" x14ac:dyDescent="0.35">
      <c r="A834">
        <v>201553</v>
      </c>
      <c r="B834" t="s">
        <v>1118</v>
      </c>
      <c r="C834" t="s">
        <v>92</v>
      </c>
      <c r="D834" t="s">
        <v>1097</v>
      </c>
      <c r="E834" t="s">
        <v>14</v>
      </c>
      <c r="F834" s="3">
        <v>198000</v>
      </c>
      <c r="G834" s="1">
        <v>0.5</v>
      </c>
      <c r="H834" s="3">
        <f>F834*(1-G834)</f>
        <v>99000</v>
      </c>
    </row>
    <row r="835" spans="1:8" x14ac:dyDescent="0.35">
      <c r="A835">
        <v>201554</v>
      </c>
      <c r="B835" t="s">
        <v>1119</v>
      </c>
      <c r="C835" t="s">
        <v>92</v>
      </c>
      <c r="D835" t="s">
        <v>1097</v>
      </c>
      <c r="E835" t="s">
        <v>14</v>
      </c>
      <c r="F835" s="3">
        <v>198000</v>
      </c>
      <c r="G835" s="1">
        <v>0.5</v>
      </c>
      <c r="H835" s="3">
        <f>F835*(1-G835)</f>
        <v>99000</v>
      </c>
    </row>
    <row r="836" spans="1:8" x14ac:dyDescent="0.35">
      <c r="A836">
        <v>201555</v>
      </c>
      <c r="B836" t="s">
        <v>1120</v>
      </c>
      <c r="C836" t="s">
        <v>92</v>
      </c>
      <c r="D836" t="s">
        <v>1097</v>
      </c>
      <c r="E836" t="s">
        <v>14</v>
      </c>
      <c r="F836" s="3">
        <v>198000</v>
      </c>
      <c r="G836" s="1">
        <v>0.5</v>
      </c>
      <c r="H836" s="3">
        <f>F836*(1-G836)</f>
        <v>99000</v>
      </c>
    </row>
    <row r="837" spans="1:8" x14ac:dyDescent="0.35">
      <c r="A837">
        <v>700298</v>
      </c>
      <c r="B837" t="s">
        <v>1121</v>
      </c>
      <c r="C837" t="s">
        <v>92</v>
      </c>
      <c r="D837" t="s">
        <v>1097</v>
      </c>
      <c r="E837" t="s">
        <v>14</v>
      </c>
      <c r="F837" s="3">
        <v>49000</v>
      </c>
      <c r="G837" s="3">
        <v>20000</v>
      </c>
      <c r="H837" s="4">
        <f>G837</f>
        <v>20000</v>
      </c>
    </row>
    <row r="838" spans="1:8" x14ac:dyDescent="0.35">
      <c r="A838">
        <v>700299</v>
      </c>
      <c r="B838" t="s">
        <v>1122</v>
      </c>
      <c r="C838" t="s">
        <v>92</v>
      </c>
      <c r="D838" t="s">
        <v>1097</v>
      </c>
      <c r="E838" t="s">
        <v>14</v>
      </c>
      <c r="F838" s="3">
        <v>34000</v>
      </c>
      <c r="G838" s="3">
        <v>20000</v>
      </c>
      <c r="H838" s="4">
        <f>G838</f>
        <v>20000</v>
      </c>
    </row>
    <row r="839" spans="1:8" x14ac:dyDescent="0.35">
      <c r="A839">
        <v>700304</v>
      </c>
      <c r="B839" t="s">
        <v>1123</v>
      </c>
      <c r="C839" t="s">
        <v>92</v>
      </c>
      <c r="D839" t="s">
        <v>1097</v>
      </c>
      <c r="E839" t="s">
        <v>14</v>
      </c>
      <c r="F839" s="3">
        <v>118000</v>
      </c>
      <c r="G839" s="1">
        <v>0.5</v>
      </c>
      <c r="H839" s="3">
        <f>F839*(1-G839)</f>
        <v>59000</v>
      </c>
    </row>
    <row r="840" spans="1:8" x14ac:dyDescent="0.35">
      <c r="A840">
        <v>700305</v>
      </c>
      <c r="B840" t="s">
        <v>1124</v>
      </c>
      <c r="C840" t="s">
        <v>92</v>
      </c>
      <c r="D840" t="s">
        <v>1097</v>
      </c>
      <c r="E840" t="s">
        <v>14</v>
      </c>
      <c r="F840" s="3">
        <v>168000</v>
      </c>
      <c r="G840" s="1">
        <v>0.5</v>
      </c>
      <c r="H840" s="3">
        <f>F840*(1-G840)</f>
        <v>84000</v>
      </c>
    </row>
    <row r="841" spans="1:8" x14ac:dyDescent="0.35">
      <c r="A841">
        <v>700306</v>
      </c>
      <c r="B841" t="s">
        <v>1125</v>
      </c>
      <c r="C841" t="s">
        <v>92</v>
      </c>
      <c r="D841" t="s">
        <v>1097</v>
      </c>
      <c r="E841" t="s">
        <v>14</v>
      </c>
      <c r="F841" s="3">
        <v>168000</v>
      </c>
      <c r="G841" s="1">
        <v>0.5</v>
      </c>
      <c r="H841" s="3">
        <f>F841*(1-G841)</f>
        <v>84000</v>
      </c>
    </row>
    <row r="842" spans="1:8" x14ac:dyDescent="0.35">
      <c r="A842">
        <v>701686</v>
      </c>
      <c r="B842" t="s">
        <v>1126</v>
      </c>
      <c r="C842" t="s">
        <v>92</v>
      </c>
      <c r="D842" t="s">
        <v>1097</v>
      </c>
      <c r="E842" t="s">
        <v>14</v>
      </c>
      <c r="F842" s="3">
        <v>168000</v>
      </c>
      <c r="G842" s="3">
        <v>50000</v>
      </c>
      <c r="H842" s="4">
        <f>G842</f>
        <v>50000</v>
      </c>
    </row>
    <row r="843" spans="1:8" x14ac:dyDescent="0.35">
      <c r="A843">
        <v>703444</v>
      </c>
      <c r="B843" t="s">
        <v>1127</v>
      </c>
      <c r="C843" t="s">
        <v>92</v>
      </c>
      <c r="D843" t="s">
        <v>1097</v>
      </c>
      <c r="E843" t="s">
        <v>14</v>
      </c>
      <c r="F843" s="3">
        <v>13000</v>
      </c>
      <c r="G843" s="3">
        <v>5000</v>
      </c>
      <c r="H843" s="4">
        <f>G843</f>
        <v>5000</v>
      </c>
    </row>
    <row r="844" spans="1:8" x14ac:dyDescent="0.35">
      <c r="A844">
        <v>703445</v>
      </c>
      <c r="B844" t="s">
        <v>1128</v>
      </c>
      <c r="C844" t="s">
        <v>92</v>
      </c>
      <c r="D844" t="s">
        <v>1097</v>
      </c>
      <c r="E844" t="s">
        <v>14</v>
      </c>
      <c r="F844" s="3">
        <v>40000</v>
      </c>
      <c r="G844" s="1">
        <v>0.5</v>
      </c>
      <c r="H844" s="3">
        <f t="shared" ref="H844:H849" si="18">F844*(1-G844)</f>
        <v>20000</v>
      </c>
    </row>
    <row r="845" spans="1:8" x14ac:dyDescent="0.35">
      <c r="A845">
        <v>703447</v>
      </c>
      <c r="B845" t="s">
        <v>1129</v>
      </c>
      <c r="C845" t="s">
        <v>92</v>
      </c>
      <c r="D845" t="s">
        <v>1097</v>
      </c>
      <c r="E845" t="s">
        <v>14</v>
      </c>
      <c r="F845" s="3">
        <v>49000</v>
      </c>
      <c r="G845" s="1">
        <v>0.5</v>
      </c>
      <c r="H845" s="3">
        <f t="shared" si="18"/>
        <v>24500</v>
      </c>
    </row>
    <row r="846" spans="1:8" x14ac:dyDescent="0.35">
      <c r="A846">
        <v>703609</v>
      </c>
      <c r="B846" t="s">
        <v>1130</v>
      </c>
      <c r="C846" t="s">
        <v>92</v>
      </c>
      <c r="D846" t="s">
        <v>1097</v>
      </c>
      <c r="E846" t="s">
        <v>14</v>
      </c>
      <c r="F846" s="3">
        <v>79000</v>
      </c>
      <c r="G846" s="1">
        <v>0.5</v>
      </c>
      <c r="H846" s="3">
        <f t="shared" si="18"/>
        <v>39500</v>
      </c>
    </row>
    <row r="847" spans="1:8" x14ac:dyDescent="0.35">
      <c r="A847">
        <v>707917</v>
      </c>
      <c r="B847" t="s">
        <v>1131</v>
      </c>
      <c r="C847" t="s">
        <v>92</v>
      </c>
      <c r="D847" t="s">
        <v>1097</v>
      </c>
      <c r="E847" t="s">
        <v>14</v>
      </c>
      <c r="F847" s="3">
        <v>99000</v>
      </c>
      <c r="G847" s="1">
        <v>0.5</v>
      </c>
      <c r="H847" s="3">
        <f t="shared" si="18"/>
        <v>49500</v>
      </c>
    </row>
    <row r="848" spans="1:8" x14ac:dyDescent="0.35">
      <c r="A848">
        <v>711141</v>
      </c>
      <c r="B848" t="s">
        <v>1132</v>
      </c>
      <c r="C848" t="s">
        <v>92</v>
      </c>
      <c r="D848" t="s">
        <v>1097</v>
      </c>
      <c r="F848" s="3">
        <v>138000</v>
      </c>
      <c r="G848" s="1">
        <v>0.5</v>
      </c>
      <c r="H848" s="3">
        <f t="shared" si="18"/>
        <v>69000</v>
      </c>
    </row>
    <row r="849" spans="1:8" x14ac:dyDescent="0.35">
      <c r="A849">
        <v>715911</v>
      </c>
      <c r="B849" t="s">
        <v>1133</v>
      </c>
      <c r="C849" t="s">
        <v>92</v>
      </c>
      <c r="D849" t="s">
        <v>1097</v>
      </c>
      <c r="E849" t="s">
        <v>14</v>
      </c>
      <c r="F849" s="3">
        <v>158000</v>
      </c>
      <c r="G849" s="1">
        <v>0.2</v>
      </c>
      <c r="H849" s="3">
        <f t="shared" si="18"/>
        <v>126400</v>
      </c>
    </row>
    <row r="850" spans="1:8" x14ac:dyDescent="0.35">
      <c r="A850">
        <v>718092</v>
      </c>
      <c r="B850" t="s">
        <v>1134</v>
      </c>
      <c r="C850" t="s">
        <v>92</v>
      </c>
      <c r="D850" t="s">
        <v>1097</v>
      </c>
      <c r="E850" t="s">
        <v>14</v>
      </c>
      <c r="F850" s="3">
        <v>19000</v>
      </c>
      <c r="G850" s="3">
        <v>9000</v>
      </c>
      <c r="H850" s="4">
        <f>G850</f>
        <v>9000</v>
      </c>
    </row>
    <row r="851" spans="1:8" x14ac:dyDescent="0.35">
      <c r="A851">
        <v>725551</v>
      </c>
      <c r="B851" t="s">
        <v>1135</v>
      </c>
      <c r="C851" t="s">
        <v>92</v>
      </c>
      <c r="D851" t="s">
        <v>1097</v>
      </c>
      <c r="F851" s="3">
        <v>118000</v>
      </c>
      <c r="G851" s="1">
        <v>0.2</v>
      </c>
      <c r="H851" s="3">
        <f t="shared" ref="H851:H857" si="19">F851*(1-G851)</f>
        <v>94400</v>
      </c>
    </row>
    <row r="852" spans="1:8" x14ac:dyDescent="0.35">
      <c r="A852">
        <v>731856</v>
      </c>
      <c r="B852" t="s">
        <v>1136</v>
      </c>
      <c r="C852" t="s">
        <v>92</v>
      </c>
      <c r="D852" t="s">
        <v>1097</v>
      </c>
      <c r="E852" t="s">
        <v>14</v>
      </c>
      <c r="F852" s="3">
        <v>2098000</v>
      </c>
      <c r="G852" s="1">
        <v>0.5</v>
      </c>
      <c r="H852" s="3">
        <f t="shared" si="19"/>
        <v>1049000</v>
      </c>
    </row>
    <row r="853" spans="1:8" x14ac:dyDescent="0.35">
      <c r="A853">
        <v>710101</v>
      </c>
      <c r="B853" t="s">
        <v>1137</v>
      </c>
      <c r="C853" t="s">
        <v>555</v>
      </c>
      <c r="D853" t="s">
        <v>1138</v>
      </c>
      <c r="E853" t="s">
        <v>14</v>
      </c>
      <c r="F853" s="3">
        <v>99000</v>
      </c>
      <c r="G853" s="1">
        <v>0.7</v>
      </c>
      <c r="H853" s="3">
        <f t="shared" si="19"/>
        <v>29700.000000000004</v>
      </c>
    </row>
    <row r="854" spans="1:8" x14ac:dyDescent="0.35">
      <c r="A854">
        <v>723404</v>
      </c>
      <c r="B854" t="s">
        <v>1139</v>
      </c>
      <c r="C854" t="s">
        <v>555</v>
      </c>
      <c r="D854" t="s">
        <v>1138</v>
      </c>
      <c r="E854" t="s">
        <v>14</v>
      </c>
      <c r="F854" s="3">
        <v>128000</v>
      </c>
      <c r="G854" s="1">
        <v>0.7</v>
      </c>
      <c r="H854" s="3">
        <f t="shared" si="19"/>
        <v>38400.000000000007</v>
      </c>
    </row>
    <row r="855" spans="1:8" x14ac:dyDescent="0.35">
      <c r="A855">
        <v>723405</v>
      </c>
      <c r="B855" t="s">
        <v>1140</v>
      </c>
      <c r="C855" t="s">
        <v>555</v>
      </c>
      <c r="D855" t="s">
        <v>1138</v>
      </c>
      <c r="E855" t="s">
        <v>14</v>
      </c>
      <c r="F855" s="3">
        <v>128000</v>
      </c>
      <c r="G855" s="1">
        <v>0.7</v>
      </c>
      <c r="H855" s="3">
        <f t="shared" si="19"/>
        <v>38400.000000000007</v>
      </c>
    </row>
    <row r="856" spans="1:8" x14ac:dyDescent="0.35">
      <c r="A856">
        <v>730978</v>
      </c>
      <c r="B856" t="s">
        <v>1141</v>
      </c>
      <c r="C856" t="s">
        <v>555</v>
      </c>
      <c r="D856" t="s">
        <v>1142</v>
      </c>
      <c r="E856" t="s">
        <v>14</v>
      </c>
      <c r="F856" s="3">
        <v>248000</v>
      </c>
      <c r="G856" s="1">
        <v>0.7</v>
      </c>
      <c r="H856" s="3">
        <f t="shared" si="19"/>
        <v>74400.000000000015</v>
      </c>
    </row>
    <row r="857" spans="1:8" x14ac:dyDescent="0.35">
      <c r="A857">
        <v>732398</v>
      </c>
      <c r="B857" t="s">
        <v>1143</v>
      </c>
      <c r="C857" t="s">
        <v>555</v>
      </c>
      <c r="D857" t="s">
        <v>1142</v>
      </c>
      <c r="E857" t="s">
        <v>14</v>
      </c>
      <c r="F857" s="3">
        <v>998000</v>
      </c>
      <c r="G857" s="1">
        <v>0.7</v>
      </c>
      <c r="H857" s="3">
        <f t="shared" si="19"/>
        <v>299400.00000000006</v>
      </c>
    </row>
    <row r="858" spans="1:8" x14ac:dyDescent="0.35">
      <c r="A858">
        <v>200174</v>
      </c>
      <c r="B858" t="s">
        <v>1144</v>
      </c>
      <c r="C858" t="s">
        <v>368</v>
      </c>
      <c r="D858" t="s">
        <v>1145</v>
      </c>
      <c r="E858" t="s">
        <v>14</v>
      </c>
      <c r="F858" s="3">
        <v>24000</v>
      </c>
      <c r="G858" s="3">
        <v>14000</v>
      </c>
      <c r="H858" s="4">
        <f>G858</f>
        <v>14000</v>
      </c>
    </row>
    <row r="859" spans="1:8" x14ac:dyDescent="0.35">
      <c r="A859">
        <v>200175</v>
      </c>
      <c r="B859" t="s">
        <v>1146</v>
      </c>
      <c r="C859" t="s">
        <v>368</v>
      </c>
      <c r="D859" t="s">
        <v>1145</v>
      </c>
      <c r="E859" t="s">
        <v>14</v>
      </c>
      <c r="F859" s="3">
        <v>24000</v>
      </c>
      <c r="G859" s="3">
        <v>14000</v>
      </c>
      <c r="H859" s="4">
        <f>G859</f>
        <v>14000</v>
      </c>
    </row>
    <row r="860" spans="1:8" x14ac:dyDescent="0.35">
      <c r="A860">
        <v>729376</v>
      </c>
      <c r="B860" t="s">
        <v>1147</v>
      </c>
      <c r="C860" t="s">
        <v>820</v>
      </c>
      <c r="D860" t="s">
        <v>1145</v>
      </c>
      <c r="E860" t="s">
        <v>14</v>
      </c>
      <c r="F860" s="3">
        <v>228000</v>
      </c>
      <c r="G860" s="1">
        <v>0.5</v>
      </c>
      <c r="H860" s="3">
        <f t="shared" ref="H860:H872" si="20">F860*(1-G860)</f>
        <v>114000</v>
      </c>
    </row>
    <row r="861" spans="1:8" x14ac:dyDescent="0.35">
      <c r="A861">
        <v>711674</v>
      </c>
      <c r="B861" t="s">
        <v>1148</v>
      </c>
      <c r="C861" t="s">
        <v>428</v>
      </c>
      <c r="D861" t="s">
        <v>416</v>
      </c>
      <c r="E861" t="s">
        <v>14</v>
      </c>
      <c r="F861" s="3">
        <v>248000</v>
      </c>
      <c r="G861" s="1">
        <v>0.5</v>
      </c>
      <c r="H861" s="3">
        <f t="shared" si="20"/>
        <v>124000</v>
      </c>
    </row>
    <row r="862" spans="1:8" x14ac:dyDescent="0.35">
      <c r="A862">
        <v>721902</v>
      </c>
      <c r="B862" t="s">
        <v>1149</v>
      </c>
      <c r="C862" t="s">
        <v>428</v>
      </c>
      <c r="D862" t="s">
        <v>416</v>
      </c>
      <c r="E862" t="s">
        <v>14</v>
      </c>
      <c r="F862" s="3">
        <v>118000</v>
      </c>
      <c r="G862" s="1">
        <v>0.5</v>
      </c>
      <c r="H862" s="3">
        <f t="shared" si="20"/>
        <v>59000</v>
      </c>
    </row>
    <row r="863" spans="1:8" x14ac:dyDescent="0.35">
      <c r="A863">
        <v>722134</v>
      </c>
      <c r="B863" t="s">
        <v>1150</v>
      </c>
      <c r="C863" t="s">
        <v>428</v>
      </c>
      <c r="D863" t="s">
        <v>416</v>
      </c>
      <c r="E863" t="s">
        <v>14</v>
      </c>
      <c r="F863" s="3">
        <v>348000</v>
      </c>
      <c r="G863" s="1">
        <v>0.5</v>
      </c>
      <c r="H863" s="3">
        <f t="shared" si="20"/>
        <v>174000</v>
      </c>
    </row>
    <row r="864" spans="1:8" x14ac:dyDescent="0.35">
      <c r="A864">
        <v>723043</v>
      </c>
      <c r="B864" t="s">
        <v>1151</v>
      </c>
      <c r="C864" t="s">
        <v>428</v>
      </c>
      <c r="D864" t="s">
        <v>416</v>
      </c>
      <c r="E864" t="s">
        <v>14</v>
      </c>
      <c r="F864" s="3">
        <v>348000</v>
      </c>
      <c r="G864" s="1">
        <v>0.5</v>
      </c>
      <c r="H864" s="3">
        <f t="shared" si="20"/>
        <v>174000</v>
      </c>
    </row>
    <row r="865" spans="1:8" x14ac:dyDescent="0.35">
      <c r="A865">
        <v>733831</v>
      </c>
      <c r="B865" t="s">
        <v>1152</v>
      </c>
      <c r="C865" t="s">
        <v>97</v>
      </c>
      <c r="D865" t="s">
        <v>416</v>
      </c>
      <c r="E865" t="s">
        <v>14</v>
      </c>
      <c r="F865" s="3">
        <v>248000</v>
      </c>
      <c r="G865" s="1">
        <v>0.5</v>
      </c>
      <c r="H865" s="3">
        <f t="shared" si="20"/>
        <v>124000</v>
      </c>
    </row>
    <row r="866" spans="1:8" x14ac:dyDescent="0.35">
      <c r="A866">
        <v>733832</v>
      </c>
      <c r="B866" t="s">
        <v>1153</v>
      </c>
      <c r="C866" t="s">
        <v>97</v>
      </c>
      <c r="D866" t="s">
        <v>416</v>
      </c>
      <c r="E866" t="s">
        <v>14</v>
      </c>
      <c r="F866" s="3">
        <v>278000</v>
      </c>
      <c r="G866" s="1">
        <v>0.5</v>
      </c>
      <c r="H866" s="3">
        <f t="shared" si="20"/>
        <v>139000</v>
      </c>
    </row>
    <row r="867" spans="1:8" x14ac:dyDescent="0.35">
      <c r="A867">
        <v>736109</v>
      </c>
      <c r="B867" t="s">
        <v>1154</v>
      </c>
      <c r="C867" t="s">
        <v>97</v>
      </c>
      <c r="D867" t="s">
        <v>416</v>
      </c>
      <c r="F867" s="3">
        <v>798000</v>
      </c>
      <c r="G867" s="1">
        <v>0.5</v>
      </c>
      <c r="H867" s="3">
        <f t="shared" si="20"/>
        <v>399000</v>
      </c>
    </row>
    <row r="868" spans="1:8" x14ac:dyDescent="0.35">
      <c r="A868">
        <v>718799</v>
      </c>
      <c r="B868" t="s">
        <v>1155</v>
      </c>
      <c r="C868" t="s">
        <v>92</v>
      </c>
      <c r="D868" t="s">
        <v>416</v>
      </c>
      <c r="E868" t="s">
        <v>14</v>
      </c>
      <c r="F868" s="3">
        <v>3748000</v>
      </c>
      <c r="G868" s="1">
        <v>0.7</v>
      </c>
      <c r="H868" s="3">
        <f t="shared" si="20"/>
        <v>1124400.0000000002</v>
      </c>
    </row>
    <row r="869" spans="1:8" x14ac:dyDescent="0.35">
      <c r="A869">
        <v>719059</v>
      </c>
      <c r="B869" t="s">
        <v>1156</v>
      </c>
      <c r="C869" t="s">
        <v>92</v>
      </c>
      <c r="D869" t="s">
        <v>416</v>
      </c>
      <c r="E869" t="s">
        <v>14</v>
      </c>
      <c r="F869" s="3">
        <v>348000</v>
      </c>
      <c r="G869" s="1">
        <v>0.7</v>
      </c>
      <c r="H869" s="3">
        <f t="shared" si="20"/>
        <v>104400.00000000001</v>
      </c>
    </row>
    <row r="870" spans="1:8" x14ac:dyDescent="0.35">
      <c r="A870">
        <v>700134</v>
      </c>
      <c r="B870" t="s">
        <v>1157</v>
      </c>
      <c r="C870" t="s">
        <v>92</v>
      </c>
      <c r="D870" t="s">
        <v>506</v>
      </c>
      <c r="E870" t="s">
        <v>14</v>
      </c>
      <c r="F870" s="3">
        <v>128000</v>
      </c>
      <c r="G870" s="1">
        <v>0.7</v>
      </c>
      <c r="H870" s="3">
        <f t="shared" si="20"/>
        <v>38400.000000000007</v>
      </c>
    </row>
    <row r="871" spans="1:8" x14ac:dyDescent="0.35">
      <c r="A871">
        <v>711016</v>
      </c>
      <c r="B871" t="s">
        <v>1158</v>
      </c>
      <c r="C871" t="s">
        <v>92</v>
      </c>
      <c r="D871" t="s">
        <v>506</v>
      </c>
      <c r="E871" t="s">
        <v>14</v>
      </c>
      <c r="F871" s="3">
        <v>69000</v>
      </c>
      <c r="G871" s="1">
        <v>0.5</v>
      </c>
      <c r="H871" s="3">
        <f t="shared" si="20"/>
        <v>34500</v>
      </c>
    </row>
    <row r="872" spans="1:8" x14ac:dyDescent="0.35">
      <c r="A872">
        <v>711267</v>
      </c>
      <c r="B872" t="s">
        <v>1159</v>
      </c>
      <c r="C872" t="s">
        <v>92</v>
      </c>
      <c r="D872" t="s">
        <v>506</v>
      </c>
      <c r="E872" t="s">
        <v>14</v>
      </c>
      <c r="F872" s="3">
        <v>798000</v>
      </c>
      <c r="G872" s="1">
        <v>0.5</v>
      </c>
      <c r="H872" s="3">
        <f t="shared" si="20"/>
        <v>399000</v>
      </c>
    </row>
    <row r="873" spans="1:8" x14ac:dyDescent="0.35">
      <c r="A873">
        <v>715710</v>
      </c>
      <c r="B873" t="s">
        <v>1160</v>
      </c>
      <c r="C873" t="s">
        <v>92</v>
      </c>
      <c r="D873" t="s">
        <v>506</v>
      </c>
      <c r="E873" t="s">
        <v>14</v>
      </c>
      <c r="F873" s="3">
        <v>69000</v>
      </c>
      <c r="G873" s="3">
        <v>40000</v>
      </c>
      <c r="H873" s="4">
        <f>G873</f>
        <v>40000</v>
      </c>
    </row>
    <row r="874" spans="1:8" x14ac:dyDescent="0.35">
      <c r="A874">
        <v>715866</v>
      </c>
      <c r="B874" t="s">
        <v>1161</v>
      </c>
      <c r="C874" t="s">
        <v>92</v>
      </c>
      <c r="D874" t="s">
        <v>506</v>
      </c>
      <c r="E874" t="s">
        <v>14</v>
      </c>
      <c r="F874" s="3">
        <v>1348000</v>
      </c>
      <c r="G874" s="1">
        <v>0.2</v>
      </c>
      <c r="H874" s="3">
        <f t="shared" ref="H874:H932" si="21">F874*(1-G874)</f>
        <v>1078400</v>
      </c>
    </row>
    <row r="875" spans="1:8" x14ac:dyDescent="0.35">
      <c r="A875">
        <v>716028</v>
      </c>
      <c r="B875" t="s">
        <v>1162</v>
      </c>
      <c r="C875" t="s">
        <v>92</v>
      </c>
      <c r="D875" t="s">
        <v>506</v>
      </c>
      <c r="E875" t="s">
        <v>14</v>
      </c>
      <c r="F875" s="3">
        <v>998000</v>
      </c>
      <c r="G875" s="1">
        <v>0.7</v>
      </c>
      <c r="H875" s="3">
        <f t="shared" si="21"/>
        <v>299400.00000000006</v>
      </c>
    </row>
    <row r="876" spans="1:8" x14ac:dyDescent="0.35">
      <c r="A876">
        <v>717726</v>
      </c>
      <c r="B876" t="s">
        <v>1163</v>
      </c>
      <c r="C876" t="s">
        <v>92</v>
      </c>
      <c r="D876" t="s">
        <v>506</v>
      </c>
      <c r="E876" t="s">
        <v>14</v>
      </c>
      <c r="F876" s="3">
        <v>798000</v>
      </c>
      <c r="G876" s="1">
        <v>0.5</v>
      </c>
      <c r="H876" s="3">
        <f t="shared" si="21"/>
        <v>399000</v>
      </c>
    </row>
    <row r="877" spans="1:8" x14ac:dyDescent="0.35">
      <c r="A877">
        <v>717727</v>
      </c>
      <c r="B877" t="s">
        <v>1164</v>
      </c>
      <c r="C877" t="s">
        <v>92</v>
      </c>
      <c r="D877" t="s">
        <v>506</v>
      </c>
      <c r="E877" t="s">
        <v>14</v>
      </c>
      <c r="F877" s="3">
        <v>998000</v>
      </c>
      <c r="G877" s="1">
        <v>0.2</v>
      </c>
      <c r="H877" s="3">
        <f t="shared" si="21"/>
        <v>798400</v>
      </c>
    </row>
    <row r="878" spans="1:8" x14ac:dyDescent="0.35">
      <c r="A878">
        <v>724499</v>
      </c>
      <c r="B878" t="s">
        <v>1165</v>
      </c>
      <c r="C878" t="s">
        <v>92</v>
      </c>
      <c r="D878" t="s">
        <v>506</v>
      </c>
      <c r="E878" t="s">
        <v>14</v>
      </c>
      <c r="F878" s="3">
        <v>1698000</v>
      </c>
      <c r="G878" s="1">
        <v>0.2</v>
      </c>
      <c r="H878" s="3">
        <f t="shared" si="21"/>
        <v>1358400</v>
      </c>
    </row>
    <row r="879" spans="1:8" x14ac:dyDescent="0.35">
      <c r="A879">
        <v>726031</v>
      </c>
      <c r="B879" t="s">
        <v>1166</v>
      </c>
      <c r="C879" t="s">
        <v>92</v>
      </c>
      <c r="D879" t="s">
        <v>506</v>
      </c>
      <c r="F879" s="3">
        <v>39000</v>
      </c>
      <c r="G879" s="1">
        <v>0.2</v>
      </c>
      <c r="H879" s="3">
        <f t="shared" si="21"/>
        <v>31200</v>
      </c>
    </row>
    <row r="880" spans="1:8" x14ac:dyDescent="0.35">
      <c r="A880">
        <v>728845</v>
      </c>
      <c r="B880" t="s">
        <v>1167</v>
      </c>
      <c r="C880" t="s">
        <v>555</v>
      </c>
      <c r="D880" t="s">
        <v>1168</v>
      </c>
      <c r="E880" t="s">
        <v>14</v>
      </c>
      <c r="F880" s="3">
        <v>428000</v>
      </c>
      <c r="G880" s="1">
        <v>0.7</v>
      </c>
      <c r="H880" s="3">
        <f t="shared" si="21"/>
        <v>128400.00000000001</v>
      </c>
    </row>
    <row r="881" spans="1:8" x14ac:dyDescent="0.35">
      <c r="A881">
        <v>732389003</v>
      </c>
      <c r="B881" t="s">
        <v>1169</v>
      </c>
      <c r="C881" t="s">
        <v>1170</v>
      </c>
      <c r="D881" t="s">
        <v>255</v>
      </c>
      <c r="E881" t="s">
        <v>14</v>
      </c>
      <c r="F881" s="3">
        <v>1498000</v>
      </c>
      <c r="G881" s="1">
        <v>0.5</v>
      </c>
      <c r="H881" s="3">
        <f t="shared" si="21"/>
        <v>749000</v>
      </c>
    </row>
    <row r="882" spans="1:8" x14ac:dyDescent="0.35">
      <c r="A882">
        <v>732389005</v>
      </c>
      <c r="B882" t="s">
        <v>1171</v>
      </c>
      <c r="C882" t="s">
        <v>1170</v>
      </c>
      <c r="D882" t="s">
        <v>255</v>
      </c>
      <c r="E882" t="s">
        <v>14</v>
      </c>
      <c r="F882" s="3">
        <v>1498000</v>
      </c>
      <c r="G882" s="1">
        <v>0.5</v>
      </c>
      <c r="H882" s="3">
        <f t="shared" si="21"/>
        <v>749000</v>
      </c>
    </row>
    <row r="883" spans="1:8" x14ac:dyDescent="0.35">
      <c r="A883">
        <v>732390003</v>
      </c>
      <c r="B883" t="s">
        <v>1172</v>
      </c>
      <c r="C883" t="s">
        <v>1170</v>
      </c>
      <c r="D883" t="s">
        <v>255</v>
      </c>
      <c r="E883" t="s">
        <v>14</v>
      </c>
      <c r="F883" s="3">
        <v>1498000</v>
      </c>
      <c r="G883" s="1">
        <v>0.5</v>
      </c>
      <c r="H883" s="3">
        <f t="shared" si="21"/>
        <v>749000</v>
      </c>
    </row>
    <row r="884" spans="1:8" x14ac:dyDescent="0.35">
      <c r="A884">
        <v>732391002</v>
      </c>
      <c r="B884" t="s">
        <v>1173</v>
      </c>
      <c r="C884" t="s">
        <v>1170</v>
      </c>
      <c r="D884" t="s">
        <v>255</v>
      </c>
      <c r="E884" t="s">
        <v>14</v>
      </c>
      <c r="F884" s="3">
        <v>728000</v>
      </c>
      <c r="G884" s="1">
        <v>0.5</v>
      </c>
      <c r="H884" s="3">
        <f t="shared" si="21"/>
        <v>364000</v>
      </c>
    </row>
    <row r="885" spans="1:8" x14ac:dyDescent="0.35">
      <c r="A885">
        <v>732391004</v>
      </c>
      <c r="B885" t="s">
        <v>1174</v>
      </c>
      <c r="C885" t="s">
        <v>1170</v>
      </c>
      <c r="D885" t="s">
        <v>255</v>
      </c>
      <c r="E885" t="s">
        <v>14</v>
      </c>
      <c r="F885" s="3">
        <v>728000</v>
      </c>
      <c r="G885" s="1">
        <v>0.5</v>
      </c>
      <c r="H885" s="3">
        <f t="shared" si="21"/>
        <v>364000</v>
      </c>
    </row>
    <row r="886" spans="1:8" x14ac:dyDescent="0.35">
      <c r="A886">
        <v>732391006</v>
      </c>
      <c r="B886" t="s">
        <v>1175</v>
      </c>
      <c r="C886" t="s">
        <v>1170</v>
      </c>
      <c r="D886" t="s">
        <v>255</v>
      </c>
      <c r="E886" t="s">
        <v>14</v>
      </c>
      <c r="F886" s="3">
        <v>728000</v>
      </c>
      <c r="G886" s="1">
        <v>0.5</v>
      </c>
      <c r="H886" s="3">
        <f t="shared" si="21"/>
        <v>364000</v>
      </c>
    </row>
    <row r="887" spans="1:8" x14ac:dyDescent="0.35">
      <c r="A887">
        <v>732392001</v>
      </c>
      <c r="B887" t="s">
        <v>1176</v>
      </c>
      <c r="C887" t="s">
        <v>1170</v>
      </c>
      <c r="D887" t="s">
        <v>255</v>
      </c>
      <c r="E887" t="s">
        <v>14</v>
      </c>
      <c r="F887" s="3">
        <v>728000</v>
      </c>
      <c r="G887" s="1">
        <v>0.5</v>
      </c>
      <c r="H887" s="3">
        <f t="shared" si="21"/>
        <v>364000</v>
      </c>
    </row>
    <row r="888" spans="1:8" x14ac:dyDescent="0.35">
      <c r="A888">
        <v>732392003</v>
      </c>
      <c r="B888" t="s">
        <v>1177</v>
      </c>
      <c r="C888" t="s">
        <v>1170</v>
      </c>
      <c r="D888" t="s">
        <v>255</v>
      </c>
      <c r="E888" t="s">
        <v>14</v>
      </c>
      <c r="F888" s="3">
        <v>728000</v>
      </c>
      <c r="G888" s="1">
        <v>0.5</v>
      </c>
      <c r="H888" s="3">
        <f t="shared" si="21"/>
        <v>364000</v>
      </c>
    </row>
    <row r="889" spans="1:8" x14ac:dyDescent="0.35">
      <c r="A889">
        <v>732392004</v>
      </c>
      <c r="B889" t="s">
        <v>1178</v>
      </c>
      <c r="C889" t="s">
        <v>1170</v>
      </c>
      <c r="D889" t="s">
        <v>255</v>
      </c>
      <c r="E889" t="s">
        <v>14</v>
      </c>
      <c r="F889" s="3">
        <v>728000</v>
      </c>
      <c r="G889" s="1">
        <v>0.5</v>
      </c>
      <c r="H889" s="3">
        <f t="shared" si="21"/>
        <v>364000</v>
      </c>
    </row>
    <row r="890" spans="1:8" x14ac:dyDescent="0.35">
      <c r="A890">
        <v>732392006</v>
      </c>
      <c r="B890" t="s">
        <v>1179</v>
      </c>
      <c r="C890" t="s">
        <v>1170</v>
      </c>
      <c r="D890" t="s">
        <v>255</v>
      </c>
      <c r="E890" t="s">
        <v>14</v>
      </c>
      <c r="F890" s="3">
        <v>728000</v>
      </c>
      <c r="G890" s="1">
        <v>0.5</v>
      </c>
      <c r="H890" s="3">
        <f t="shared" si="21"/>
        <v>364000</v>
      </c>
    </row>
    <row r="891" spans="1:8" x14ac:dyDescent="0.35">
      <c r="A891">
        <v>732392007</v>
      </c>
      <c r="B891" t="s">
        <v>1180</v>
      </c>
      <c r="C891" t="s">
        <v>1170</v>
      </c>
      <c r="D891" t="s">
        <v>255</v>
      </c>
      <c r="E891" t="s">
        <v>14</v>
      </c>
      <c r="F891" s="3">
        <v>728000</v>
      </c>
      <c r="G891" s="1">
        <v>0.5</v>
      </c>
      <c r="H891" s="3">
        <f t="shared" si="21"/>
        <v>364000</v>
      </c>
    </row>
    <row r="892" spans="1:8" x14ac:dyDescent="0.35">
      <c r="A892">
        <v>732393002</v>
      </c>
      <c r="B892" t="s">
        <v>1181</v>
      </c>
      <c r="C892" t="s">
        <v>1170</v>
      </c>
      <c r="D892" t="s">
        <v>255</v>
      </c>
      <c r="E892" t="s">
        <v>14</v>
      </c>
      <c r="F892" s="3">
        <v>948000</v>
      </c>
      <c r="G892" s="1">
        <v>0.5</v>
      </c>
      <c r="H892" s="3">
        <f t="shared" si="21"/>
        <v>474000</v>
      </c>
    </row>
    <row r="893" spans="1:8" x14ac:dyDescent="0.35">
      <c r="A893">
        <v>732393005</v>
      </c>
      <c r="B893" t="s">
        <v>1182</v>
      </c>
      <c r="C893" t="s">
        <v>1170</v>
      </c>
      <c r="D893" t="s">
        <v>255</v>
      </c>
      <c r="E893" t="s">
        <v>14</v>
      </c>
      <c r="F893" s="3">
        <v>948000</v>
      </c>
      <c r="G893" s="1">
        <v>0.5</v>
      </c>
      <c r="H893" s="3">
        <f t="shared" si="21"/>
        <v>474000</v>
      </c>
    </row>
    <row r="894" spans="1:8" x14ac:dyDescent="0.35">
      <c r="A894">
        <v>732393006</v>
      </c>
      <c r="B894" t="s">
        <v>1183</v>
      </c>
      <c r="C894" t="s">
        <v>1170</v>
      </c>
      <c r="D894" t="s">
        <v>255</v>
      </c>
      <c r="E894" t="s">
        <v>14</v>
      </c>
      <c r="F894" s="3">
        <v>948000</v>
      </c>
      <c r="G894" s="1">
        <v>0.5</v>
      </c>
      <c r="H894" s="3">
        <f t="shared" si="21"/>
        <v>474000</v>
      </c>
    </row>
    <row r="895" spans="1:8" x14ac:dyDescent="0.35">
      <c r="A895">
        <v>732395001</v>
      </c>
      <c r="B895" t="s">
        <v>1184</v>
      </c>
      <c r="C895" t="s">
        <v>1170</v>
      </c>
      <c r="D895" t="s">
        <v>255</v>
      </c>
      <c r="E895" t="s">
        <v>14</v>
      </c>
      <c r="F895" s="3">
        <v>478000</v>
      </c>
      <c r="G895" s="1">
        <v>0.5</v>
      </c>
      <c r="H895" s="3">
        <f t="shared" si="21"/>
        <v>239000</v>
      </c>
    </row>
    <row r="896" spans="1:8" x14ac:dyDescent="0.35">
      <c r="A896">
        <v>732395003</v>
      </c>
      <c r="B896" t="s">
        <v>1185</v>
      </c>
      <c r="C896" t="s">
        <v>1170</v>
      </c>
      <c r="D896" t="s">
        <v>255</v>
      </c>
      <c r="E896" t="s">
        <v>14</v>
      </c>
      <c r="F896" s="3">
        <v>478000</v>
      </c>
      <c r="G896" s="1">
        <v>0.5</v>
      </c>
      <c r="H896" s="3">
        <f t="shared" si="21"/>
        <v>239000</v>
      </c>
    </row>
    <row r="897" spans="1:8" x14ac:dyDescent="0.35">
      <c r="A897">
        <v>732396003</v>
      </c>
      <c r="B897" t="s">
        <v>1186</v>
      </c>
      <c r="C897" t="s">
        <v>1170</v>
      </c>
      <c r="D897" t="s">
        <v>255</v>
      </c>
      <c r="E897" t="s">
        <v>14</v>
      </c>
      <c r="F897" s="3">
        <v>278000</v>
      </c>
      <c r="G897" s="1">
        <v>0.5</v>
      </c>
      <c r="H897" s="3">
        <f t="shared" si="21"/>
        <v>139000</v>
      </c>
    </row>
    <row r="898" spans="1:8" x14ac:dyDescent="0.35">
      <c r="A898">
        <v>732397001</v>
      </c>
      <c r="B898" t="s">
        <v>1187</v>
      </c>
      <c r="C898" t="s">
        <v>1170</v>
      </c>
      <c r="D898" t="s">
        <v>255</v>
      </c>
      <c r="E898" t="s">
        <v>14</v>
      </c>
      <c r="F898" s="3">
        <v>398000</v>
      </c>
      <c r="G898" s="1">
        <v>0.5</v>
      </c>
      <c r="H898" s="3">
        <f t="shared" si="21"/>
        <v>199000</v>
      </c>
    </row>
    <row r="899" spans="1:8" x14ac:dyDescent="0.35">
      <c r="A899">
        <v>732397003</v>
      </c>
      <c r="B899" t="s">
        <v>1188</v>
      </c>
      <c r="C899" t="s">
        <v>1170</v>
      </c>
      <c r="D899" t="s">
        <v>255</v>
      </c>
      <c r="E899" t="s">
        <v>14</v>
      </c>
      <c r="F899" s="3">
        <v>398000</v>
      </c>
      <c r="G899" s="1">
        <v>0.5</v>
      </c>
      <c r="H899" s="3">
        <f t="shared" si="21"/>
        <v>199000</v>
      </c>
    </row>
    <row r="900" spans="1:8" x14ac:dyDescent="0.35">
      <c r="A900">
        <v>732397005</v>
      </c>
      <c r="B900" t="s">
        <v>1189</v>
      </c>
      <c r="C900" t="s">
        <v>1170</v>
      </c>
      <c r="D900" t="s">
        <v>255</v>
      </c>
      <c r="E900" t="s">
        <v>14</v>
      </c>
      <c r="F900" s="3">
        <v>398000</v>
      </c>
      <c r="G900" s="1">
        <v>0.5</v>
      </c>
      <c r="H900" s="3">
        <f t="shared" si="21"/>
        <v>199000</v>
      </c>
    </row>
    <row r="901" spans="1:8" x14ac:dyDescent="0.35">
      <c r="A901">
        <v>732397007</v>
      </c>
      <c r="B901" t="s">
        <v>1190</v>
      </c>
      <c r="C901" t="s">
        <v>1170</v>
      </c>
      <c r="D901" t="s">
        <v>255</v>
      </c>
      <c r="E901" t="s">
        <v>14</v>
      </c>
      <c r="F901" s="3">
        <v>398000</v>
      </c>
      <c r="G901" s="1">
        <v>0.5</v>
      </c>
      <c r="H901" s="3">
        <f t="shared" si="21"/>
        <v>199000</v>
      </c>
    </row>
    <row r="902" spans="1:8" x14ac:dyDescent="0.35">
      <c r="A902">
        <v>722560001</v>
      </c>
      <c r="B902" t="s">
        <v>482</v>
      </c>
      <c r="C902" t="s">
        <v>483</v>
      </c>
      <c r="D902" t="s">
        <v>255</v>
      </c>
      <c r="E902" t="s">
        <v>14</v>
      </c>
      <c r="F902" s="3">
        <v>998000</v>
      </c>
      <c r="G902" s="1">
        <v>0.2</v>
      </c>
      <c r="H902" s="3">
        <f t="shared" si="21"/>
        <v>798400</v>
      </c>
    </row>
    <row r="903" spans="1:8" x14ac:dyDescent="0.35">
      <c r="A903">
        <v>722562001</v>
      </c>
      <c r="B903" t="s">
        <v>484</v>
      </c>
      <c r="C903" t="s">
        <v>483</v>
      </c>
      <c r="D903" t="s">
        <v>255</v>
      </c>
      <c r="E903" t="s">
        <v>14</v>
      </c>
      <c r="F903" s="3">
        <v>998000</v>
      </c>
      <c r="G903" s="1">
        <v>0.2</v>
      </c>
      <c r="H903" s="3">
        <f t="shared" si="21"/>
        <v>798400</v>
      </c>
    </row>
    <row r="904" spans="1:8" x14ac:dyDescent="0.35">
      <c r="A904">
        <v>729842001</v>
      </c>
      <c r="B904" t="s">
        <v>485</v>
      </c>
      <c r="C904" t="s">
        <v>483</v>
      </c>
      <c r="D904" t="s">
        <v>255</v>
      </c>
      <c r="E904" t="s">
        <v>14</v>
      </c>
      <c r="F904" s="3">
        <v>1498000</v>
      </c>
      <c r="G904" s="1">
        <v>0.2</v>
      </c>
      <c r="H904" s="3">
        <f t="shared" si="21"/>
        <v>1198400</v>
      </c>
    </row>
    <row r="905" spans="1:8" x14ac:dyDescent="0.35">
      <c r="A905">
        <v>731256001</v>
      </c>
      <c r="B905" t="s">
        <v>486</v>
      </c>
      <c r="C905" t="s">
        <v>483</v>
      </c>
      <c r="D905" t="s">
        <v>255</v>
      </c>
      <c r="E905" t="s">
        <v>14</v>
      </c>
      <c r="F905" s="3">
        <v>998000</v>
      </c>
      <c r="G905" s="1">
        <v>0.2</v>
      </c>
      <c r="H905" s="3">
        <f t="shared" si="21"/>
        <v>798400</v>
      </c>
    </row>
    <row r="906" spans="1:8" x14ac:dyDescent="0.35">
      <c r="A906">
        <v>728305001</v>
      </c>
      <c r="B906" t="s">
        <v>254</v>
      </c>
      <c r="C906" t="s">
        <v>92</v>
      </c>
      <c r="D906" t="s">
        <v>255</v>
      </c>
      <c r="E906" t="s">
        <v>14</v>
      </c>
      <c r="F906" s="3">
        <v>1698000</v>
      </c>
      <c r="G906" s="1">
        <v>0.2</v>
      </c>
      <c r="H906" s="3">
        <f t="shared" si="21"/>
        <v>1358400</v>
      </c>
    </row>
    <row r="907" spans="1:8" x14ac:dyDescent="0.35">
      <c r="A907">
        <v>728776001</v>
      </c>
      <c r="B907" t="s">
        <v>256</v>
      </c>
      <c r="C907" t="s">
        <v>92</v>
      </c>
      <c r="D907" t="s">
        <v>255</v>
      </c>
      <c r="E907" t="s">
        <v>14</v>
      </c>
      <c r="F907" s="3">
        <v>2048000</v>
      </c>
      <c r="G907" s="1">
        <v>0.2</v>
      </c>
      <c r="H907" s="3">
        <f t="shared" si="21"/>
        <v>1638400</v>
      </c>
    </row>
    <row r="908" spans="1:8" x14ac:dyDescent="0.35">
      <c r="A908">
        <v>731182006</v>
      </c>
      <c r="B908" t="s">
        <v>1191</v>
      </c>
      <c r="C908" t="s">
        <v>820</v>
      </c>
      <c r="D908" t="s">
        <v>255</v>
      </c>
      <c r="E908" t="s">
        <v>14</v>
      </c>
      <c r="F908" s="3">
        <v>798000</v>
      </c>
      <c r="G908" s="1">
        <v>0.5</v>
      </c>
      <c r="H908" s="3">
        <f t="shared" si="21"/>
        <v>399000</v>
      </c>
    </row>
    <row r="909" spans="1:8" x14ac:dyDescent="0.35">
      <c r="A909">
        <v>731182007</v>
      </c>
      <c r="B909" t="s">
        <v>1192</v>
      </c>
      <c r="C909" t="s">
        <v>820</v>
      </c>
      <c r="D909" t="s">
        <v>255</v>
      </c>
      <c r="E909" t="s">
        <v>14</v>
      </c>
      <c r="F909" s="3">
        <v>798000</v>
      </c>
      <c r="G909" s="1">
        <v>0.5</v>
      </c>
      <c r="H909" s="3">
        <f t="shared" si="21"/>
        <v>399000</v>
      </c>
    </row>
    <row r="910" spans="1:8" x14ac:dyDescent="0.35">
      <c r="A910">
        <v>734878002</v>
      </c>
      <c r="B910" t="s">
        <v>1193</v>
      </c>
      <c r="C910" t="s">
        <v>820</v>
      </c>
      <c r="D910" t="s">
        <v>255</v>
      </c>
      <c r="E910" t="s">
        <v>14</v>
      </c>
      <c r="F910" s="3">
        <v>1098000</v>
      </c>
      <c r="G910" s="1">
        <v>0.5</v>
      </c>
      <c r="H910" s="3">
        <f t="shared" si="21"/>
        <v>549000</v>
      </c>
    </row>
    <row r="911" spans="1:8" x14ac:dyDescent="0.35">
      <c r="A911">
        <v>734878003</v>
      </c>
      <c r="B911" t="s">
        <v>1194</v>
      </c>
      <c r="C911" t="s">
        <v>820</v>
      </c>
      <c r="D911" t="s">
        <v>255</v>
      </c>
      <c r="E911" t="s">
        <v>14</v>
      </c>
      <c r="F911" s="3">
        <v>1098000</v>
      </c>
      <c r="G911" s="1">
        <v>0.5</v>
      </c>
      <c r="H911" s="3">
        <f t="shared" si="21"/>
        <v>549000</v>
      </c>
    </row>
    <row r="912" spans="1:8" x14ac:dyDescent="0.35">
      <c r="A912">
        <v>736207002</v>
      </c>
      <c r="B912" t="s">
        <v>1195</v>
      </c>
      <c r="C912" t="s">
        <v>820</v>
      </c>
      <c r="D912" t="s">
        <v>255</v>
      </c>
      <c r="E912" t="s">
        <v>14</v>
      </c>
      <c r="F912" s="3">
        <v>1098000</v>
      </c>
      <c r="G912" s="1">
        <v>0.5</v>
      </c>
      <c r="H912" s="3">
        <f t="shared" si="21"/>
        <v>549000</v>
      </c>
    </row>
    <row r="913" spans="1:8" x14ac:dyDescent="0.35">
      <c r="A913">
        <v>734288001</v>
      </c>
      <c r="B913" t="s">
        <v>487</v>
      </c>
      <c r="C913" t="s">
        <v>488</v>
      </c>
      <c r="D913" t="s">
        <v>255</v>
      </c>
      <c r="E913" t="s">
        <v>14</v>
      </c>
      <c r="F913" s="3">
        <v>778000</v>
      </c>
      <c r="G913" s="1">
        <v>0.2</v>
      </c>
      <c r="H913" s="3">
        <f t="shared" si="21"/>
        <v>622400</v>
      </c>
    </row>
    <row r="914" spans="1:8" x14ac:dyDescent="0.35">
      <c r="A914">
        <v>715415</v>
      </c>
      <c r="B914" t="s">
        <v>1196</v>
      </c>
      <c r="C914" t="s">
        <v>92</v>
      </c>
      <c r="D914" t="s">
        <v>257</v>
      </c>
      <c r="F914" s="3">
        <v>1548000</v>
      </c>
      <c r="G914" s="1">
        <v>0.2</v>
      </c>
      <c r="H914" s="3">
        <f t="shared" si="21"/>
        <v>1238400</v>
      </c>
    </row>
    <row r="915" spans="1:8" x14ac:dyDescent="0.35">
      <c r="A915">
        <v>717723</v>
      </c>
      <c r="B915" t="s">
        <v>1197</v>
      </c>
      <c r="C915" t="s">
        <v>92</v>
      </c>
      <c r="D915" t="s">
        <v>257</v>
      </c>
      <c r="E915" t="s">
        <v>14</v>
      </c>
      <c r="F915" s="3">
        <v>4898000</v>
      </c>
      <c r="G915" s="1">
        <v>0.5</v>
      </c>
      <c r="H915" s="3">
        <f t="shared" si="21"/>
        <v>2449000</v>
      </c>
    </row>
    <row r="916" spans="1:8" x14ac:dyDescent="0.35">
      <c r="A916">
        <v>717724</v>
      </c>
      <c r="B916" t="s">
        <v>1198</v>
      </c>
      <c r="C916" t="s">
        <v>92</v>
      </c>
      <c r="D916" t="s">
        <v>257</v>
      </c>
      <c r="E916" t="s">
        <v>14</v>
      </c>
      <c r="F916" s="3">
        <v>4898000</v>
      </c>
      <c r="G916" s="1">
        <v>0.5</v>
      </c>
      <c r="H916" s="3">
        <f t="shared" si="21"/>
        <v>2449000</v>
      </c>
    </row>
    <row r="917" spans="1:8" x14ac:dyDescent="0.35">
      <c r="A917">
        <v>724497</v>
      </c>
      <c r="B917" t="s">
        <v>1199</v>
      </c>
      <c r="C917" t="s">
        <v>92</v>
      </c>
      <c r="D917" t="s">
        <v>257</v>
      </c>
      <c r="E917" t="s">
        <v>14</v>
      </c>
      <c r="F917" s="3">
        <v>3498000</v>
      </c>
      <c r="G917" s="1">
        <v>0.5</v>
      </c>
      <c r="H917" s="3">
        <f t="shared" si="21"/>
        <v>1749000</v>
      </c>
    </row>
    <row r="918" spans="1:8" x14ac:dyDescent="0.35">
      <c r="A918">
        <v>731652</v>
      </c>
      <c r="B918" t="s">
        <v>1200</v>
      </c>
      <c r="C918" t="s">
        <v>92</v>
      </c>
      <c r="D918" t="s">
        <v>257</v>
      </c>
      <c r="F918" s="3">
        <v>3698000</v>
      </c>
      <c r="G918" s="1">
        <v>0.2</v>
      </c>
      <c r="H918" s="3">
        <f t="shared" si="21"/>
        <v>2958400</v>
      </c>
    </row>
    <row r="919" spans="1:8" x14ac:dyDescent="0.35">
      <c r="A919">
        <v>733825</v>
      </c>
      <c r="B919" t="s">
        <v>1201</v>
      </c>
      <c r="C919" t="s">
        <v>92</v>
      </c>
      <c r="D919" t="s">
        <v>257</v>
      </c>
      <c r="F919" s="3">
        <v>498000</v>
      </c>
      <c r="G919" s="1">
        <v>0.2</v>
      </c>
      <c r="H919" s="3">
        <f t="shared" si="21"/>
        <v>398400</v>
      </c>
    </row>
    <row r="920" spans="1:8" x14ac:dyDescent="0.35">
      <c r="A920">
        <v>200212</v>
      </c>
      <c r="B920" t="s">
        <v>1202</v>
      </c>
      <c r="C920" t="s">
        <v>368</v>
      </c>
      <c r="D920" t="s">
        <v>1203</v>
      </c>
      <c r="E920" t="s">
        <v>14</v>
      </c>
      <c r="F920" s="3">
        <v>10000</v>
      </c>
      <c r="G920" s="1">
        <v>0.7</v>
      </c>
      <c r="H920" s="3">
        <f t="shared" si="21"/>
        <v>3000.0000000000005</v>
      </c>
    </row>
    <row r="921" spans="1:8" x14ac:dyDescent="0.35">
      <c r="A921">
        <v>200213</v>
      </c>
      <c r="B921" t="s">
        <v>1204</v>
      </c>
      <c r="C921" t="s">
        <v>368</v>
      </c>
      <c r="D921" t="s">
        <v>1203</v>
      </c>
      <c r="E921" t="s">
        <v>14</v>
      </c>
      <c r="F921" s="3">
        <v>10000</v>
      </c>
      <c r="G921" s="1">
        <v>0.7</v>
      </c>
      <c r="H921" s="3">
        <f t="shared" si="21"/>
        <v>3000.0000000000005</v>
      </c>
    </row>
    <row r="922" spans="1:8" x14ac:dyDescent="0.35">
      <c r="A922">
        <v>200215</v>
      </c>
      <c r="B922" t="s">
        <v>1205</v>
      </c>
      <c r="C922" t="s">
        <v>368</v>
      </c>
      <c r="D922" t="s">
        <v>1203</v>
      </c>
      <c r="E922" t="s">
        <v>14</v>
      </c>
      <c r="F922" s="3">
        <v>3500</v>
      </c>
      <c r="G922" s="1">
        <v>0.7</v>
      </c>
      <c r="H922" s="3">
        <f t="shared" si="21"/>
        <v>1050.0000000000002</v>
      </c>
    </row>
    <row r="923" spans="1:8" x14ac:dyDescent="0.35">
      <c r="A923">
        <v>200216</v>
      </c>
      <c r="B923" t="s">
        <v>1206</v>
      </c>
      <c r="C923" t="s">
        <v>368</v>
      </c>
      <c r="D923" t="s">
        <v>1203</v>
      </c>
      <c r="E923" t="s">
        <v>14</v>
      </c>
      <c r="F923" s="3">
        <v>3500</v>
      </c>
      <c r="G923" s="1">
        <v>0.7</v>
      </c>
      <c r="H923" s="3">
        <f t="shared" si="21"/>
        <v>1050.0000000000002</v>
      </c>
    </row>
    <row r="924" spans="1:8" x14ac:dyDescent="0.35">
      <c r="A924">
        <v>200218</v>
      </c>
      <c r="B924" t="s">
        <v>1207</v>
      </c>
      <c r="C924" t="s">
        <v>368</v>
      </c>
      <c r="D924" t="s">
        <v>1203</v>
      </c>
      <c r="E924" t="s">
        <v>14</v>
      </c>
      <c r="F924" s="3">
        <v>10000</v>
      </c>
      <c r="G924" s="1">
        <v>0.7</v>
      </c>
      <c r="H924" s="3">
        <f t="shared" si="21"/>
        <v>3000.0000000000005</v>
      </c>
    </row>
    <row r="925" spans="1:8" x14ac:dyDescent="0.35">
      <c r="A925">
        <v>734864001</v>
      </c>
      <c r="B925" t="s">
        <v>1208</v>
      </c>
      <c r="C925" t="s">
        <v>820</v>
      </c>
      <c r="D925" t="s">
        <v>419</v>
      </c>
      <c r="E925" t="s">
        <v>14</v>
      </c>
      <c r="F925" s="3">
        <v>1848000</v>
      </c>
      <c r="G925" s="1">
        <v>0.5</v>
      </c>
      <c r="H925" s="3">
        <f t="shared" si="21"/>
        <v>924000</v>
      </c>
    </row>
    <row r="926" spans="1:8" x14ac:dyDescent="0.35">
      <c r="A926">
        <v>734866001</v>
      </c>
      <c r="B926" t="s">
        <v>1209</v>
      </c>
      <c r="C926" t="s">
        <v>820</v>
      </c>
      <c r="D926" t="s">
        <v>419</v>
      </c>
      <c r="E926" t="s">
        <v>14</v>
      </c>
      <c r="F926" s="3">
        <v>1198000</v>
      </c>
      <c r="G926" s="1">
        <v>0.5</v>
      </c>
      <c r="H926" s="3">
        <f t="shared" si="21"/>
        <v>599000</v>
      </c>
    </row>
    <row r="927" spans="1:8" x14ac:dyDescent="0.35">
      <c r="A927">
        <v>734870001</v>
      </c>
      <c r="B927" t="s">
        <v>1210</v>
      </c>
      <c r="C927" t="s">
        <v>820</v>
      </c>
      <c r="D927" t="s">
        <v>419</v>
      </c>
      <c r="E927" t="s">
        <v>14</v>
      </c>
      <c r="F927" s="3">
        <v>1198000</v>
      </c>
      <c r="G927" s="1">
        <v>0.5</v>
      </c>
      <c r="H927" s="3">
        <f t="shared" si="21"/>
        <v>599000</v>
      </c>
    </row>
    <row r="928" spans="1:8" x14ac:dyDescent="0.35">
      <c r="A928">
        <v>734877001</v>
      </c>
      <c r="B928" t="s">
        <v>1211</v>
      </c>
      <c r="C928" t="s">
        <v>820</v>
      </c>
      <c r="D928" t="s">
        <v>419</v>
      </c>
      <c r="E928" t="s">
        <v>14</v>
      </c>
      <c r="F928" s="3">
        <v>828000</v>
      </c>
      <c r="G928" s="1">
        <v>0.5</v>
      </c>
      <c r="H928" s="3">
        <f t="shared" si="21"/>
        <v>414000</v>
      </c>
    </row>
    <row r="929" spans="1:8" x14ac:dyDescent="0.35">
      <c r="A929">
        <v>733036001</v>
      </c>
      <c r="B929" t="s">
        <v>363</v>
      </c>
      <c r="C929" t="s">
        <v>362</v>
      </c>
      <c r="D929" t="s">
        <v>266</v>
      </c>
      <c r="E929" t="s">
        <v>14</v>
      </c>
      <c r="F929" s="3">
        <v>1728000</v>
      </c>
      <c r="G929" s="1">
        <v>0.2</v>
      </c>
      <c r="H929" s="3">
        <f t="shared" si="21"/>
        <v>1382400</v>
      </c>
    </row>
    <row r="930" spans="1:8" x14ac:dyDescent="0.35">
      <c r="A930">
        <v>731675001</v>
      </c>
      <c r="B930" t="s">
        <v>1212</v>
      </c>
      <c r="C930" t="s">
        <v>97</v>
      </c>
      <c r="D930" t="s">
        <v>266</v>
      </c>
      <c r="E930" t="s">
        <v>14</v>
      </c>
      <c r="F930" s="3">
        <v>1248000</v>
      </c>
      <c r="G930" s="1">
        <v>0.2</v>
      </c>
      <c r="H930" s="3">
        <f t="shared" si="21"/>
        <v>998400</v>
      </c>
    </row>
    <row r="931" spans="1:8" x14ac:dyDescent="0.35">
      <c r="A931">
        <v>735473001</v>
      </c>
      <c r="B931" t="s">
        <v>265</v>
      </c>
      <c r="C931" t="s">
        <v>97</v>
      </c>
      <c r="D931" t="s">
        <v>266</v>
      </c>
      <c r="E931" t="s">
        <v>14</v>
      </c>
      <c r="F931" s="3">
        <v>1398000</v>
      </c>
      <c r="G931" s="1">
        <v>0.2</v>
      </c>
      <c r="H931" s="3">
        <f t="shared" si="21"/>
        <v>1118400</v>
      </c>
    </row>
    <row r="932" spans="1:8" x14ac:dyDescent="0.35">
      <c r="A932">
        <v>724653001</v>
      </c>
      <c r="B932" t="s">
        <v>489</v>
      </c>
      <c r="C932" t="s">
        <v>449</v>
      </c>
      <c r="D932" t="s">
        <v>266</v>
      </c>
      <c r="E932" t="s">
        <v>14</v>
      </c>
      <c r="F932" s="3">
        <v>1298000</v>
      </c>
      <c r="G932" s="1">
        <v>0.2</v>
      </c>
      <c r="H932" s="3">
        <f t="shared" si="21"/>
        <v>1038400</v>
      </c>
    </row>
    <row r="933" spans="1:8" x14ac:dyDescent="0.35">
      <c r="A933">
        <v>729072</v>
      </c>
      <c r="B933" t="s">
        <v>1213</v>
      </c>
      <c r="C933" t="s">
        <v>368</v>
      </c>
      <c r="D933" t="s">
        <v>1214</v>
      </c>
      <c r="F933" s="3">
        <v>99000</v>
      </c>
      <c r="G933" s="3">
        <v>49000</v>
      </c>
      <c r="H933" s="4">
        <f>G933</f>
        <v>49000</v>
      </c>
    </row>
    <row r="934" spans="1:8" x14ac:dyDescent="0.35">
      <c r="A934">
        <v>729758</v>
      </c>
      <c r="B934" t="s">
        <v>1215</v>
      </c>
      <c r="C934" t="s">
        <v>368</v>
      </c>
      <c r="D934" t="s">
        <v>1214</v>
      </c>
      <c r="E934" t="s">
        <v>14</v>
      </c>
      <c r="F934" s="3">
        <v>99000</v>
      </c>
      <c r="G934" s="3">
        <v>49000</v>
      </c>
      <c r="H934" s="4">
        <f>G934</f>
        <v>49000</v>
      </c>
    </row>
    <row r="935" spans="1:8" x14ac:dyDescent="0.35">
      <c r="A935">
        <v>732844</v>
      </c>
      <c r="B935" t="s">
        <v>1216</v>
      </c>
      <c r="C935" t="s">
        <v>368</v>
      </c>
      <c r="D935" t="s">
        <v>1214</v>
      </c>
      <c r="F935" s="3">
        <v>179000</v>
      </c>
      <c r="G935" s="3">
        <v>89000</v>
      </c>
      <c r="H935" s="4">
        <f>G935</f>
        <v>89000</v>
      </c>
    </row>
    <row r="936" spans="1:8" x14ac:dyDescent="0.35">
      <c r="A936">
        <v>716563</v>
      </c>
      <c r="B936" t="s">
        <v>1217</v>
      </c>
      <c r="C936" t="s">
        <v>490</v>
      </c>
      <c r="D936" t="s">
        <v>1214</v>
      </c>
      <c r="E936" t="s">
        <v>14</v>
      </c>
      <c r="F936" s="3">
        <v>198000</v>
      </c>
      <c r="G936" s="1">
        <v>0.5</v>
      </c>
      <c r="H936" s="3">
        <f>F936*(1-G936)</f>
        <v>99000</v>
      </c>
    </row>
    <row r="937" spans="1:8" x14ac:dyDescent="0.35">
      <c r="A937">
        <v>723075</v>
      </c>
      <c r="B937" t="s">
        <v>1218</v>
      </c>
      <c r="C937" t="s">
        <v>490</v>
      </c>
      <c r="D937" t="s">
        <v>1214</v>
      </c>
      <c r="E937" t="s">
        <v>14</v>
      </c>
      <c r="F937" s="3">
        <v>198000</v>
      </c>
      <c r="G937" s="1">
        <v>0.5</v>
      </c>
      <c r="H937" s="3">
        <f>F937*(1-G937)</f>
        <v>99000</v>
      </c>
    </row>
    <row r="938" spans="1:8" x14ac:dyDescent="0.35">
      <c r="A938">
        <v>733202001</v>
      </c>
      <c r="B938" t="s">
        <v>1219</v>
      </c>
      <c r="C938" t="s">
        <v>362</v>
      </c>
      <c r="D938" t="s">
        <v>369</v>
      </c>
      <c r="E938" t="s">
        <v>14</v>
      </c>
      <c r="F938" s="3">
        <v>1798000</v>
      </c>
      <c r="G938" s="1">
        <v>0.5</v>
      </c>
      <c r="H938" s="3">
        <f>F938*(1-G938)</f>
        <v>899000</v>
      </c>
    </row>
    <row r="939" spans="1:8" x14ac:dyDescent="0.35">
      <c r="A939">
        <v>722219001</v>
      </c>
      <c r="B939" t="s">
        <v>1220</v>
      </c>
      <c r="C939" t="s">
        <v>1221</v>
      </c>
      <c r="D939" t="s">
        <v>369</v>
      </c>
      <c r="E939" t="s">
        <v>14</v>
      </c>
      <c r="F939" s="3">
        <v>298000</v>
      </c>
      <c r="G939" s="3">
        <v>50000</v>
      </c>
      <c r="H939" s="4">
        <f>G939</f>
        <v>50000</v>
      </c>
    </row>
    <row r="940" spans="1:8" x14ac:dyDescent="0.35">
      <c r="A940">
        <v>722220001</v>
      </c>
      <c r="B940" t="s">
        <v>1222</v>
      </c>
      <c r="C940" t="s">
        <v>1221</v>
      </c>
      <c r="D940" t="s">
        <v>369</v>
      </c>
      <c r="E940" t="s">
        <v>14</v>
      </c>
      <c r="F940" s="3">
        <v>298000</v>
      </c>
      <c r="G940" s="3">
        <v>50000</v>
      </c>
      <c r="H940" s="4">
        <f>G940</f>
        <v>50000</v>
      </c>
    </row>
    <row r="941" spans="1:8" x14ac:dyDescent="0.35">
      <c r="A941">
        <v>719004001</v>
      </c>
      <c r="B941" t="s">
        <v>1223</v>
      </c>
      <c r="C941" t="s">
        <v>555</v>
      </c>
      <c r="D941" t="s">
        <v>369</v>
      </c>
      <c r="E941" t="s">
        <v>14</v>
      </c>
      <c r="F941" s="3">
        <v>398000</v>
      </c>
      <c r="G941" s="1">
        <v>0.7</v>
      </c>
      <c r="H941" s="3">
        <f t="shared" ref="H941:H958" si="22">F941*(1-G941)</f>
        <v>119400.00000000001</v>
      </c>
    </row>
    <row r="942" spans="1:8" x14ac:dyDescent="0.35">
      <c r="A942">
        <v>201056001</v>
      </c>
      <c r="B942" t="s">
        <v>1224</v>
      </c>
      <c r="C942" t="s">
        <v>368</v>
      </c>
      <c r="D942" t="s">
        <v>1225</v>
      </c>
      <c r="E942" t="s">
        <v>14</v>
      </c>
      <c r="F942" s="3">
        <v>22000</v>
      </c>
      <c r="G942" s="1">
        <v>0.5</v>
      </c>
      <c r="H942" s="3">
        <f t="shared" si="22"/>
        <v>11000</v>
      </c>
    </row>
    <row r="943" spans="1:8" x14ac:dyDescent="0.35">
      <c r="A943">
        <v>723418</v>
      </c>
      <c r="B943" t="s">
        <v>1226</v>
      </c>
      <c r="C943" t="s">
        <v>391</v>
      </c>
      <c r="D943" t="s">
        <v>438</v>
      </c>
      <c r="E943" t="s">
        <v>14</v>
      </c>
      <c r="F943" s="3">
        <v>328000</v>
      </c>
      <c r="G943" s="1">
        <v>0.7</v>
      </c>
      <c r="H943" s="3">
        <f t="shared" si="22"/>
        <v>98400.000000000015</v>
      </c>
    </row>
    <row r="944" spans="1:8" x14ac:dyDescent="0.35">
      <c r="A944">
        <v>723419</v>
      </c>
      <c r="B944" t="s">
        <v>1227</v>
      </c>
      <c r="C944" t="s">
        <v>391</v>
      </c>
      <c r="D944" t="s">
        <v>438</v>
      </c>
      <c r="E944" t="s">
        <v>14</v>
      </c>
      <c r="F944" s="3">
        <v>328000</v>
      </c>
      <c r="G944" s="1">
        <v>0.7</v>
      </c>
      <c r="H944" s="3">
        <f t="shared" si="22"/>
        <v>98400.000000000015</v>
      </c>
    </row>
    <row r="945" spans="1:8" x14ac:dyDescent="0.35">
      <c r="A945">
        <v>723420</v>
      </c>
      <c r="B945" t="s">
        <v>1228</v>
      </c>
      <c r="C945" t="s">
        <v>391</v>
      </c>
      <c r="D945" t="s">
        <v>438</v>
      </c>
      <c r="E945" t="s">
        <v>14</v>
      </c>
      <c r="F945" s="3">
        <v>328000</v>
      </c>
      <c r="G945" s="1">
        <v>0.7</v>
      </c>
      <c r="H945" s="3">
        <f t="shared" si="22"/>
        <v>98400.000000000015</v>
      </c>
    </row>
    <row r="946" spans="1:8" x14ac:dyDescent="0.35">
      <c r="A946">
        <v>723421</v>
      </c>
      <c r="B946" t="s">
        <v>1229</v>
      </c>
      <c r="C946" t="s">
        <v>391</v>
      </c>
      <c r="D946" t="s">
        <v>438</v>
      </c>
      <c r="E946" t="s">
        <v>14</v>
      </c>
      <c r="F946" s="3">
        <v>328000</v>
      </c>
      <c r="G946" s="1">
        <v>0.7</v>
      </c>
      <c r="H946" s="3">
        <f t="shared" si="22"/>
        <v>98400.000000000015</v>
      </c>
    </row>
    <row r="947" spans="1:8" x14ac:dyDescent="0.35">
      <c r="A947">
        <v>734655</v>
      </c>
      <c r="B947" t="s">
        <v>1230</v>
      </c>
      <c r="C947" t="s">
        <v>391</v>
      </c>
      <c r="D947" t="s">
        <v>438</v>
      </c>
      <c r="E947" t="s">
        <v>14</v>
      </c>
      <c r="F947" s="3">
        <v>348000</v>
      </c>
      <c r="G947" s="1">
        <v>0.7</v>
      </c>
      <c r="H947" s="3">
        <f t="shared" si="22"/>
        <v>104400.00000000001</v>
      </c>
    </row>
    <row r="948" spans="1:8" x14ac:dyDescent="0.35">
      <c r="A948">
        <v>734656</v>
      </c>
      <c r="B948" t="s">
        <v>1231</v>
      </c>
      <c r="C948" t="s">
        <v>391</v>
      </c>
      <c r="D948" t="s">
        <v>438</v>
      </c>
      <c r="E948" t="s">
        <v>14</v>
      </c>
      <c r="F948" s="3">
        <v>348000</v>
      </c>
      <c r="G948" s="1">
        <v>0.7</v>
      </c>
      <c r="H948" s="3">
        <f t="shared" si="22"/>
        <v>104400.00000000001</v>
      </c>
    </row>
    <row r="949" spans="1:8" x14ac:dyDescent="0.35">
      <c r="A949">
        <v>734657</v>
      </c>
      <c r="B949" t="s">
        <v>1232</v>
      </c>
      <c r="C949" t="s">
        <v>391</v>
      </c>
      <c r="D949" t="s">
        <v>438</v>
      </c>
      <c r="E949" t="s">
        <v>14</v>
      </c>
      <c r="F949" s="3">
        <v>348000</v>
      </c>
      <c r="G949" s="1">
        <v>0.7</v>
      </c>
      <c r="H949" s="3">
        <f t="shared" si="22"/>
        <v>104400.00000000001</v>
      </c>
    </row>
    <row r="950" spans="1:8" x14ac:dyDescent="0.35">
      <c r="A950">
        <v>734658</v>
      </c>
      <c r="B950" t="s">
        <v>1233</v>
      </c>
      <c r="C950" t="s">
        <v>391</v>
      </c>
      <c r="D950" t="s">
        <v>438</v>
      </c>
      <c r="E950" t="s">
        <v>14</v>
      </c>
      <c r="F950" s="3">
        <v>348000</v>
      </c>
      <c r="G950" s="1">
        <v>0.7</v>
      </c>
      <c r="H950" s="3">
        <f t="shared" si="22"/>
        <v>104400.00000000001</v>
      </c>
    </row>
    <row r="951" spans="1:8" x14ac:dyDescent="0.35">
      <c r="A951">
        <v>734659</v>
      </c>
      <c r="B951" t="s">
        <v>1234</v>
      </c>
      <c r="C951" t="s">
        <v>391</v>
      </c>
      <c r="D951" t="s">
        <v>438</v>
      </c>
      <c r="E951" t="s">
        <v>14</v>
      </c>
      <c r="F951" s="3">
        <v>348000</v>
      </c>
      <c r="G951" s="1">
        <v>0.7</v>
      </c>
      <c r="H951" s="3">
        <f t="shared" si="22"/>
        <v>104400.00000000001</v>
      </c>
    </row>
    <row r="952" spans="1:8" x14ac:dyDescent="0.35">
      <c r="A952">
        <v>734660</v>
      </c>
      <c r="B952" t="s">
        <v>1235</v>
      </c>
      <c r="C952" t="s">
        <v>391</v>
      </c>
      <c r="D952" t="s">
        <v>438</v>
      </c>
      <c r="E952" t="s">
        <v>14</v>
      </c>
      <c r="F952" s="3">
        <v>348000</v>
      </c>
      <c r="G952" s="1">
        <v>0.7</v>
      </c>
      <c r="H952" s="3">
        <f t="shared" si="22"/>
        <v>104400.00000000001</v>
      </c>
    </row>
    <row r="953" spans="1:8" x14ac:dyDescent="0.35">
      <c r="A953">
        <v>728310</v>
      </c>
      <c r="B953" t="s">
        <v>1236</v>
      </c>
      <c r="C953" t="s">
        <v>494</v>
      </c>
      <c r="D953" t="s">
        <v>438</v>
      </c>
      <c r="E953" t="s">
        <v>14</v>
      </c>
      <c r="F953" s="3">
        <v>2298000</v>
      </c>
      <c r="G953" s="1">
        <v>0.5</v>
      </c>
      <c r="H953" s="3">
        <f t="shared" si="22"/>
        <v>1149000</v>
      </c>
    </row>
    <row r="954" spans="1:8" x14ac:dyDescent="0.35">
      <c r="A954">
        <v>728868</v>
      </c>
      <c r="B954" t="s">
        <v>1237</v>
      </c>
      <c r="C954" t="s">
        <v>494</v>
      </c>
      <c r="D954" t="s">
        <v>438</v>
      </c>
      <c r="E954" t="s">
        <v>14</v>
      </c>
      <c r="F954" s="3">
        <v>1648000</v>
      </c>
      <c r="G954" s="1">
        <v>0.5</v>
      </c>
      <c r="H954" s="3">
        <f t="shared" si="22"/>
        <v>824000</v>
      </c>
    </row>
    <row r="955" spans="1:8" x14ac:dyDescent="0.35">
      <c r="A955">
        <v>731909</v>
      </c>
      <c r="B955" t="s">
        <v>1238</v>
      </c>
      <c r="C955" t="s">
        <v>494</v>
      </c>
      <c r="D955" t="s">
        <v>438</v>
      </c>
      <c r="E955" t="s">
        <v>14</v>
      </c>
      <c r="F955" s="3">
        <v>1948000</v>
      </c>
      <c r="G955" s="1">
        <v>0.5</v>
      </c>
      <c r="H955" s="3">
        <f t="shared" si="22"/>
        <v>974000</v>
      </c>
    </row>
    <row r="956" spans="1:8" x14ac:dyDescent="0.35">
      <c r="A956">
        <v>733603</v>
      </c>
      <c r="B956" t="s">
        <v>1239</v>
      </c>
      <c r="C956" t="s">
        <v>494</v>
      </c>
      <c r="D956" t="s">
        <v>438</v>
      </c>
      <c r="E956" t="s">
        <v>14</v>
      </c>
      <c r="F956" s="3">
        <v>1948000</v>
      </c>
      <c r="G956" s="1">
        <v>0.5</v>
      </c>
      <c r="H956" s="3">
        <f t="shared" si="22"/>
        <v>974000</v>
      </c>
    </row>
    <row r="957" spans="1:8" x14ac:dyDescent="0.35">
      <c r="A957">
        <v>200239</v>
      </c>
      <c r="B957" t="s">
        <v>1240</v>
      </c>
      <c r="C957" t="s">
        <v>368</v>
      </c>
      <c r="D957" t="s">
        <v>438</v>
      </c>
      <c r="E957" t="s">
        <v>14</v>
      </c>
      <c r="F957" s="3">
        <v>20000</v>
      </c>
      <c r="G957" s="1">
        <v>0.5</v>
      </c>
      <c r="H957" s="3">
        <f t="shared" si="22"/>
        <v>10000</v>
      </c>
    </row>
    <row r="958" spans="1:8" x14ac:dyDescent="0.35">
      <c r="A958">
        <v>200258</v>
      </c>
      <c r="B958" t="s">
        <v>1241</v>
      </c>
      <c r="C958" t="s">
        <v>368</v>
      </c>
      <c r="D958" t="s">
        <v>438</v>
      </c>
      <c r="E958" t="s">
        <v>14</v>
      </c>
      <c r="F958" s="3">
        <v>94000</v>
      </c>
      <c r="G958" s="1">
        <v>0.5</v>
      </c>
      <c r="H958" s="3">
        <f t="shared" si="22"/>
        <v>47000</v>
      </c>
    </row>
    <row r="959" spans="1:8" x14ac:dyDescent="0.35">
      <c r="A959">
        <v>200833</v>
      </c>
      <c r="B959" t="s">
        <v>497</v>
      </c>
      <c r="C959" t="s">
        <v>368</v>
      </c>
      <c r="D959" t="s">
        <v>438</v>
      </c>
      <c r="E959" t="s">
        <v>14</v>
      </c>
      <c r="F959" s="3">
        <v>148000</v>
      </c>
      <c r="G959" s="3">
        <v>75000</v>
      </c>
      <c r="H959" s="4">
        <f>G959</f>
        <v>75000</v>
      </c>
    </row>
    <row r="960" spans="1:8" x14ac:dyDescent="0.35">
      <c r="A960">
        <v>201181</v>
      </c>
      <c r="B960" t="s">
        <v>1242</v>
      </c>
      <c r="C960" t="s">
        <v>368</v>
      </c>
      <c r="D960" t="s">
        <v>438</v>
      </c>
      <c r="E960" t="s">
        <v>14</v>
      </c>
      <c r="F960" s="3">
        <v>39000</v>
      </c>
      <c r="G960" s="1">
        <v>0.5</v>
      </c>
      <c r="H960" s="3">
        <f>F960*(1-G960)</f>
        <v>19500</v>
      </c>
    </row>
    <row r="961" spans="1:8" x14ac:dyDescent="0.35">
      <c r="A961">
        <v>202120</v>
      </c>
      <c r="B961" t="s">
        <v>1243</v>
      </c>
      <c r="C961" t="s">
        <v>368</v>
      </c>
      <c r="D961" t="s">
        <v>438</v>
      </c>
      <c r="E961" t="s">
        <v>14</v>
      </c>
      <c r="F961" s="3">
        <v>1214000</v>
      </c>
      <c r="G961" s="1">
        <v>0.5</v>
      </c>
      <c r="H961" s="3">
        <f>F961*(1-G961)</f>
        <v>607000</v>
      </c>
    </row>
    <row r="962" spans="1:8" x14ac:dyDescent="0.35">
      <c r="A962">
        <v>716265</v>
      </c>
      <c r="B962" t="s">
        <v>1244</v>
      </c>
      <c r="C962" t="s">
        <v>449</v>
      </c>
      <c r="D962" t="s">
        <v>438</v>
      </c>
      <c r="E962" t="s">
        <v>14</v>
      </c>
      <c r="F962" s="3">
        <v>978000</v>
      </c>
      <c r="G962" s="1">
        <v>0.7</v>
      </c>
      <c r="H962" s="3">
        <f>F962*(1-G962)</f>
        <v>293400.00000000006</v>
      </c>
    </row>
    <row r="963" spans="1:8" x14ac:dyDescent="0.35">
      <c r="A963">
        <v>738468</v>
      </c>
      <c r="B963" t="s">
        <v>436</v>
      </c>
      <c r="C963" t="s">
        <v>437</v>
      </c>
      <c r="D963" t="s">
        <v>438</v>
      </c>
      <c r="E963" t="s">
        <v>14</v>
      </c>
      <c r="F963" s="3">
        <v>1098000</v>
      </c>
      <c r="G963" s="1">
        <v>0.2</v>
      </c>
      <c r="H963" s="3">
        <f>F963*(1-G963)</f>
        <v>878400</v>
      </c>
    </row>
    <row r="964" spans="1:8" x14ac:dyDescent="0.35">
      <c r="A964">
        <v>738469</v>
      </c>
      <c r="B964" t="s">
        <v>1245</v>
      </c>
      <c r="C964" t="s">
        <v>437</v>
      </c>
      <c r="D964" t="s">
        <v>438</v>
      </c>
      <c r="E964" t="s">
        <v>14</v>
      </c>
      <c r="F964" s="3">
        <v>1098000</v>
      </c>
      <c r="G964" s="1">
        <v>0.2</v>
      </c>
      <c r="H964" s="3">
        <f>F964*(1-G964)</f>
        <v>878400</v>
      </c>
    </row>
    <row r="965" spans="1:8" x14ac:dyDescent="0.35">
      <c r="A965">
        <v>200334</v>
      </c>
      <c r="B965" t="s">
        <v>1246</v>
      </c>
      <c r="C965" t="s">
        <v>92</v>
      </c>
      <c r="D965" t="s">
        <v>113</v>
      </c>
      <c r="E965" t="s">
        <v>14</v>
      </c>
      <c r="F965" s="3">
        <v>19000</v>
      </c>
      <c r="G965" s="3">
        <v>5000</v>
      </c>
      <c r="H965" s="4">
        <f>G965</f>
        <v>5000</v>
      </c>
    </row>
    <row r="966" spans="1:8" x14ac:dyDescent="0.35">
      <c r="A966">
        <v>201529</v>
      </c>
      <c r="B966" t="s">
        <v>253</v>
      </c>
      <c r="C966" t="s">
        <v>92</v>
      </c>
      <c r="D966" t="s">
        <v>113</v>
      </c>
      <c r="E966" t="s">
        <v>14</v>
      </c>
      <c r="F966" s="3">
        <v>14000</v>
      </c>
      <c r="G966" s="3">
        <v>9000</v>
      </c>
      <c r="H966" s="4">
        <f>G966</f>
        <v>9000</v>
      </c>
    </row>
    <row r="967" spans="1:8" x14ac:dyDescent="0.35">
      <c r="A967">
        <v>201531</v>
      </c>
      <c r="B967" t="s">
        <v>1247</v>
      </c>
      <c r="C967" t="s">
        <v>92</v>
      </c>
      <c r="D967" t="s">
        <v>113</v>
      </c>
      <c r="E967" t="s">
        <v>14</v>
      </c>
      <c r="F967" s="3">
        <v>34000</v>
      </c>
      <c r="G967" s="1">
        <v>0.7</v>
      </c>
      <c r="H967" s="3">
        <f t="shared" ref="H967:H972" si="23">F967*(1-G967)</f>
        <v>10200.000000000002</v>
      </c>
    </row>
    <row r="968" spans="1:8" x14ac:dyDescent="0.35">
      <c r="A968">
        <v>201538</v>
      </c>
      <c r="B968" t="s">
        <v>1248</v>
      </c>
      <c r="C968" t="s">
        <v>92</v>
      </c>
      <c r="D968" t="s">
        <v>113</v>
      </c>
      <c r="E968" t="s">
        <v>14</v>
      </c>
      <c r="F968" s="3">
        <v>198000</v>
      </c>
      <c r="G968" s="1">
        <v>0.5</v>
      </c>
      <c r="H968" s="3">
        <f t="shared" si="23"/>
        <v>99000</v>
      </c>
    </row>
    <row r="969" spans="1:8" x14ac:dyDescent="0.35">
      <c r="A969">
        <v>201539</v>
      </c>
      <c r="B969" t="s">
        <v>1249</v>
      </c>
      <c r="C969" t="s">
        <v>92</v>
      </c>
      <c r="D969" t="s">
        <v>113</v>
      </c>
      <c r="E969" t="s">
        <v>14</v>
      </c>
      <c r="F969" s="3">
        <v>198000</v>
      </c>
      <c r="G969" s="1">
        <v>0.5</v>
      </c>
      <c r="H969" s="3">
        <f t="shared" si="23"/>
        <v>99000</v>
      </c>
    </row>
    <row r="970" spans="1:8" x14ac:dyDescent="0.35">
      <c r="A970">
        <v>201540</v>
      </c>
      <c r="B970" t="s">
        <v>1250</v>
      </c>
      <c r="C970" t="s">
        <v>92</v>
      </c>
      <c r="D970" t="s">
        <v>113</v>
      </c>
      <c r="E970" t="s">
        <v>14</v>
      </c>
      <c r="F970" s="3">
        <v>198000</v>
      </c>
      <c r="G970" s="1">
        <v>0.5</v>
      </c>
      <c r="H970" s="3">
        <f t="shared" si="23"/>
        <v>99000</v>
      </c>
    </row>
    <row r="971" spans="1:8" x14ac:dyDescent="0.35">
      <c r="A971">
        <v>201542</v>
      </c>
      <c r="B971" t="s">
        <v>1251</v>
      </c>
      <c r="C971" t="s">
        <v>92</v>
      </c>
      <c r="D971" t="s">
        <v>113</v>
      </c>
      <c r="E971" t="s">
        <v>14</v>
      </c>
      <c r="F971" s="3">
        <v>198000</v>
      </c>
      <c r="G971" s="1">
        <v>0.5</v>
      </c>
      <c r="H971" s="3">
        <f t="shared" si="23"/>
        <v>99000</v>
      </c>
    </row>
    <row r="972" spans="1:8" x14ac:dyDescent="0.35">
      <c r="A972">
        <v>201543</v>
      </c>
      <c r="B972" t="s">
        <v>1252</v>
      </c>
      <c r="C972" t="s">
        <v>92</v>
      </c>
      <c r="D972" t="s">
        <v>113</v>
      </c>
      <c r="E972" t="s">
        <v>14</v>
      </c>
      <c r="F972" s="3">
        <v>198000</v>
      </c>
      <c r="G972" s="1">
        <v>0.5</v>
      </c>
      <c r="H972" s="3">
        <f t="shared" si="23"/>
        <v>99000</v>
      </c>
    </row>
    <row r="973" spans="1:8" x14ac:dyDescent="0.35">
      <c r="A973">
        <v>701979</v>
      </c>
      <c r="B973" t="s">
        <v>1253</v>
      </c>
      <c r="C973" t="s">
        <v>92</v>
      </c>
      <c r="D973" t="s">
        <v>113</v>
      </c>
      <c r="E973" t="s">
        <v>14</v>
      </c>
      <c r="F973" s="3">
        <v>7000</v>
      </c>
      <c r="G973" s="3">
        <v>2000</v>
      </c>
      <c r="H973" s="4">
        <f>G973</f>
        <v>2000</v>
      </c>
    </row>
    <row r="974" spans="1:8" x14ac:dyDescent="0.35">
      <c r="A974">
        <v>701983</v>
      </c>
      <c r="B974" t="s">
        <v>1254</v>
      </c>
      <c r="C974" t="s">
        <v>92</v>
      </c>
      <c r="D974" t="s">
        <v>113</v>
      </c>
      <c r="E974" t="s">
        <v>14</v>
      </c>
      <c r="F974" s="3">
        <v>24000</v>
      </c>
      <c r="G974" s="3">
        <v>5000</v>
      </c>
      <c r="H974" s="4">
        <f>G974</f>
        <v>5000</v>
      </c>
    </row>
    <row r="975" spans="1:8" x14ac:dyDescent="0.35">
      <c r="A975">
        <v>701988</v>
      </c>
      <c r="B975" t="s">
        <v>1255</v>
      </c>
      <c r="C975" t="s">
        <v>92</v>
      </c>
      <c r="D975" t="s">
        <v>113</v>
      </c>
      <c r="E975" t="s">
        <v>14</v>
      </c>
      <c r="F975" s="3">
        <v>12000</v>
      </c>
      <c r="G975" s="3">
        <v>2000</v>
      </c>
      <c r="H975" s="4">
        <f>G975</f>
        <v>2000</v>
      </c>
    </row>
    <row r="976" spans="1:8" x14ac:dyDescent="0.35">
      <c r="A976">
        <v>702403</v>
      </c>
      <c r="B976" t="s">
        <v>1256</v>
      </c>
      <c r="C976" t="s">
        <v>92</v>
      </c>
      <c r="D976" t="s">
        <v>113</v>
      </c>
      <c r="E976" t="s">
        <v>14</v>
      </c>
      <c r="F976" s="3">
        <v>198000</v>
      </c>
      <c r="G976" s="1">
        <v>0.5</v>
      </c>
      <c r="H976" s="3">
        <f>F976*(1-G976)</f>
        <v>99000</v>
      </c>
    </row>
    <row r="977" spans="1:8" x14ac:dyDescent="0.35">
      <c r="A977">
        <v>702426</v>
      </c>
      <c r="B977" t="s">
        <v>1257</v>
      </c>
      <c r="C977" t="s">
        <v>92</v>
      </c>
      <c r="D977" t="s">
        <v>113</v>
      </c>
      <c r="E977" t="s">
        <v>14</v>
      </c>
      <c r="F977" s="3">
        <v>298000</v>
      </c>
      <c r="G977" s="1">
        <v>0.5</v>
      </c>
      <c r="H977" s="3">
        <f>F977*(1-G977)</f>
        <v>149000</v>
      </c>
    </row>
    <row r="978" spans="1:8" x14ac:dyDescent="0.35">
      <c r="A978">
        <v>702429</v>
      </c>
      <c r="B978" t="s">
        <v>1258</v>
      </c>
      <c r="C978" t="s">
        <v>92</v>
      </c>
      <c r="D978" t="s">
        <v>113</v>
      </c>
      <c r="E978" t="s">
        <v>14</v>
      </c>
      <c r="F978" s="3">
        <v>298000</v>
      </c>
      <c r="G978" s="1">
        <v>0.5</v>
      </c>
      <c r="H978" s="3">
        <f>F978*(1-G978)</f>
        <v>149000</v>
      </c>
    </row>
    <row r="979" spans="1:8" x14ac:dyDescent="0.35">
      <c r="A979">
        <v>702430</v>
      </c>
      <c r="B979" t="s">
        <v>1259</v>
      </c>
      <c r="C979" t="s">
        <v>92</v>
      </c>
      <c r="D979" t="s">
        <v>113</v>
      </c>
      <c r="E979" t="s">
        <v>14</v>
      </c>
      <c r="F979" s="3">
        <v>298000</v>
      </c>
      <c r="G979" s="1">
        <v>0.5</v>
      </c>
      <c r="H979" s="3">
        <f>F979*(1-G979)</f>
        <v>149000</v>
      </c>
    </row>
    <row r="980" spans="1:8" x14ac:dyDescent="0.35">
      <c r="A980">
        <v>725236</v>
      </c>
      <c r="B980" t="s">
        <v>1260</v>
      </c>
      <c r="C980" t="s">
        <v>92</v>
      </c>
      <c r="D980" t="s">
        <v>113</v>
      </c>
      <c r="E980" t="s">
        <v>14</v>
      </c>
      <c r="F980" s="3">
        <v>24000</v>
      </c>
      <c r="G980" s="3">
        <v>5000</v>
      </c>
      <c r="H980" s="4">
        <f>G980</f>
        <v>5000</v>
      </c>
    </row>
    <row r="981" spans="1:8" x14ac:dyDescent="0.35">
      <c r="A981">
        <v>725237</v>
      </c>
      <c r="B981" t="s">
        <v>1261</v>
      </c>
      <c r="C981" t="s">
        <v>92</v>
      </c>
      <c r="D981" t="s">
        <v>113</v>
      </c>
      <c r="E981" t="s">
        <v>14</v>
      </c>
      <c r="F981" s="3">
        <v>24000</v>
      </c>
      <c r="G981" s="3">
        <v>5000</v>
      </c>
      <c r="H981" s="4">
        <f>G981</f>
        <v>5000</v>
      </c>
    </row>
    <row r="982" spans="1:8" x14ac:dyDescent="0.35">
      <c r="A982">
        <v>725238</v>
      </c>
      <c r="B982" t="s">
        <v>1262</v>
      </c>
      <c r="C982" t="s">
        <v>92</v>
      </c>
      <c r="D982" t="s">
        <v>113</v>
      </c>
      <c r="E982" t="s">
        <v>14</v>
      </c>
      <c r="F982" s="3">
        <v>24000</v>
      </c>
      <c r="G982" s="3">
        <v>5000</v>
      </c>
      <c r="H982" s="4">
        <f>G982</f>
        <v>5000</v>
      </c>
    </row>
    <row r="983" spans="1:8" x14ac:dyDescent="0.35">
      <c r="A983">
        <v>725239</v>
      </c>
      <c r="B983" t="s">
        <v>1263</v>
      </c>
      <c r="C983" t="s">
        <v>92</v>
      </c>
      <c r="D983" t="s">
        <v>113</v>
      </c>
      <c r="E983" t="s">
        <v>14</v>
      </c>
      <c r="F983" s="3">
        <v>24000</v>
      </c>
      <c r="G983" s="3">
        <v>5000</v>
      </c>
      <c r="H983" s="4">
        <f>G983</f>
        <v>5000</v>
      </c>
    </row>
    <row r="984" spans="1:8" x14ac:dyDescent="0.35">
      <c r="A984">
        <v>200730001</v>
      </c>
      <c r="B984" t="s">
        <v>328</v>
      </c>
      <c r="C984" t="s">
        <v>92</v>
      </c>
      <c r="D984" t="s">
        <v>268</v>
      </c>
      <c r="E984" t="s">
        <v>14</v>
      </c>
      <c r="F984" s="3">
        <v>118000</v>
      </c>
      <c r="G984" s="1">
        <v>0.2</v>
      </c>
      <c r="H984" s="3">
        <f>F984*(1-G984)</f>
        <v>94400</v>
      </c>
    </row>
    <row r="985" spans="1:8" x14ac:dyDescent="0.35">
      <c r="A985">
        <v>201764001</v>
      </c>
      <c r="B985" t="s">
        <v>339</v>
      </c>
      <c r="C985" t="s">
        <v>92</v>
      </c>
      <c r="D985" t="s">
        <v>268</v>
      </c>
      <c r="E985" t="s">
        <v>14</v>
      </c>
      <c r="F985" s="3">
        <v>62000</v>
      </c>
      <c r="G985" s="3">
        <v>40000</v>
      </c>
      <c r="H985" s="4">
        <f>G985</f>
        <v>40000</v>
      </c>
    </row>
    <row r="986" spans="1:8" x14ac:dyDescent="0.35">
      <c r="A986">
        <v>706785001</v>
      </c>
      <c r="B986" t="s">
        <v>1264</v>
      </c>
      <c r="C986" t="s">
        <v>92</v>
      </c>
      <c r="D986" t="s">
        <v>268</v>
      </c>
      <c r="E986" t="s">
        <v>14</v>
      </c>
      <c r="F986" s="3">
        <v>498000</v>
      </c>
      <c r="G986" s="1">
        <v>0.5</v>
      </c>
      <c r="H986" s="3">
        <f t="shared" ref="H986:H992" si="24">F986*(1-G986)</f>
        <v>249000</v>
      </c>
    </row>
    <row r="987" spans="1:8" x14ac:dyDescent="0.35">
      <c r="A987">
        <v>708130002</v>
      </c>
      <c r="B987" t="s">
        <v>1265</v>
      </c>
      <c r="C987" t="s">
        <v>92</v>
      </c>
      <c r="D987" t="s">
        <v>268</v>
      </c>
      <c r="E987" t="s">
        <v>14</v>
      </c>
      <c r="F987" s="3">
        <v>98000</v>
      </c>
      <c r="G987" s="1">
        <v>0.5</v>
      </c>
      <c r="H987" s="3">
        <f t="shared" si="24"/>
        <v>49000</v>
      </c>
    </row>
    <row r="988" spans="1:8" x14ac:dyDescent="0.35">
      <c r="A988">
        <v>710341001</v>
      </c>
      <c r="B988" t="s">
        <v>333</v>
      </c>
      <c r="C988" t="s">
        <v>92</v>
      </c>
      <c r="D988" t="s">
        <v>268</v>
      </c>
      <c r="E988" t="s">
        <v>14</v>
      </c>
      <c r="F988" s="3">
        <v>628000</v>
      </c>
      <c r="G988" s="1">
        <v>0.2</v>
      </c>
      <c r="H988" s="3">
        <f t="shared" si="24"/>
        <v>502400</v>
      </c>
    </row>
    <row r="989" spans="1:8" x14ac:dyDescent="0.35">
      <c r="A989">
        <v>719331001</v>
      </c>
      <c r="B989" t="s">
        <v>327</v>
      </c>
      <c r="C989" t="s">
        <v>92</v>
      </c>
      <c r="D989" t="s">
        <v>268</v>
      </c>
      <c r="E989" t="s">
        <v>14</v>
      </c>
      <c r="F989" s="3">
        <v>228000</v>
      </c>
      <c r="G989" s="1">
        <v>0.2</v>
      </c>
      <c r="H989" s="3">
        <f t="shared" si="24"/>
        <v>182400</v>
      </c>
    </row>
    <row r="990" spans="1:8" x14ac:dyDescent="0.35">
      <c r="A990">
        <v>720641001</v>
      </c>
      <c r="B990" t="s">
        <v>325</v>
      </c>
      <c r="C990" t="s">
        <v>92</v>
      </c>
      <c r="D990" t="s">
        <v>268</v>
      </c>
      <c r="E990" t="s">
        <v>14</v>
      </c>
      <c r="F990" s="3">
        <v>138000</v>
      </c>
      <c r="G990" s="1">
        <v>0.2</v>
      </c>
      <c r="H990" s="3">
        <f t="shared" si="24"/>
        <v>110400</v>
      </c>
    </row>
    <row r="991" spans="1:8" x14ac:dyDescent="0.35">
      <c r="A991">
        <v>723657001</v>
      </c>
      <c r="B991" t="s">
        <v>334</v>
      </c>
      <c r="C991" t="s">
        <v>92</v>
      </c>
      <c r="D991" t="s">
        <v>268</v>
      </c>
      <c r="E991" t="s">
        <v>14</v>
      </c>
      <c r="F991" s="3">
        <v>198000</v>
      </c>
      <c r="G991" s="1">
        <v>0.2</v>
      </c>
      <c r="H991" s="3">
        <f t="shared" si="24"/>
        <v>158400</v>
      </c>
    </row>
    <row r="992" spans="1:8" x14ac:dyDescent="0.35">
      <c r="A992">
        <v>723851001</v>
      </c>
      <c r="B992" t="s">
        <v>337</v>
      </c>
      <c r="C992" t="s">
        <v>92</v>
      </c>
      <c r="D992" t="s">
        <v>268</v>
      </c>
      <c r="E992" t="s">
        <v>14</v>
      </c>
      <c r="F992" s="3">
        <v>478000</v>
      </c>
      <c r="G992" s="1">
        <v>0.2</v>
      </c>
      <c r="H992" s="3">
        <f t="shared" si="24"/>
        <v>382400</v>
      </c>
    </row>
    <row r="993" spans="1:8" x14ac:dyDescent="0.35">
      <c r="A993">
        <v>724027001</v>
      </c>
      <c r="B993" t="s">
        <v>1266</v>
      </c>
      <c r="C993" t="s">
        <v>92</v>
      </c>
      <c r="D993" t="s">
        <v>268</v>
      </c>
      <c r="E993" t="s">
        <v>14</v>
      </c>
      <c r="F993" s="3">
        <v>69000</v>
      </c>
      <c r="G993" s="3">
        <v>30000</v>
      </c>
      <c r="H993" s="4">
        <f>G993</f>
        <v>30000</v>
      </c>
    </row>
    <row r="994" spans="1:8" x14ac:dyDescent="0.35">
      <c r="A994">
        <v>724029001</v>
      </c>
      <c r="B994" t="s">
        <v>338</v>
      </c>
      <c r="C994" t="s">
        <v>92</v>
      </c>
      <c r="D994" t="s">
        <v>268</v>
      </c>
      <c r="E994" t="s">
        <v>14</v>
      </c>
      <c r="F994" s="3">
        <v>58000</v>
      </c>
      <c r="G994" s="3">
        <v>30000</v>
      </c>
      <c r="H994" s="4">
        <f>G994</f>
        <v>30000</v>
      </c>
    </row>
    <row r="995" spans="1:8" x14ac:dyDescent="0.35">
      <c r="A995">
        <v>724495001</v>
      </c>
      <c r="B995" t="s">
        <v>1267</v>
      </c>
      <c r="C995" t="s">
        <v>92</v>
      </c>
      <c r="D995" t="s">
        <v>268</v>
      </c>
      <c r="E995" t="s">
        <v>14</v>
      </c>
      <c r="F995" s="3">
        <v>1998000</v>
      </c>
      <c r="G995" s="1">
        <v>0.5</v>
      </c>
      <c r="H995" s="3">
        <f t="shared" ref="H995:H1058" si="25">F995*(1-G995)</f>
        <v>999000</v>
      </c>
    </row>
    <row r="996" spans="1:8" x14ac:dyDescent="0.35">
      <c r="A996">
        <v>724886001</v>
      </c>
      <c r="B996" t="s">
        <v>1268</v>
      </c>
      <c r="C996" t="s">
        <v>92</v>
      </c>
      <c r="D996" t="s">
        <v>268</v>
      </c>
      <c r="F996" s="3">
        <v>4948000</v>
      </c>
      <c r="G996" s="1">
        <v>0.2</v>
      </c>
      <c r="H996" s="3">
        <f t="shared" si="25"/>
        <v>3958400</v>
      </c>
    </row>
    <row r="997" spans="1:8" x14ac:dyDescent="0.35">
      <c r="A997">
        <v>724887001</v>
      </c>
      <c r="B997" t="s">
        <v>1269</v>
      </c>
      <c r="C997" t="s">
        <v>92</v>
      </c>
      <c r="D997" t="s">
        <v>268</v>
      </c>
      <c r="F997" s="3">
        <v>4948000</v>
      </c>
      <c r="G997" s="1">
        <v>0.2</v>
      </c>
      <c r="H997" s="3">
        <f t="shared" si="25"/>
        <v>3958400</v>
      </c>
    </row>
    <row r="998" spans="1:8" x14ac:dyDescent="0.35">
      <c r="A998">
        <v>726015001</v>
      </c>
      <c r="B998" t="s">
        <v>1270</v>
      </c>
      <c r="C998" t="s">
        <v>92</v>
      </c>
      <c r="D998" t="s">
        <v>268</v>
      </c>
      <c r="E998" t="s">
        <v>14</v>
      </c>
      <c r="F998" s="3">
        <v>1948000</v>
      </c>
      <c r="G998" s="1">
        <v>0.2</v>
      </c>
      <c r="H998" s="3">
        <f t="shared" si="25"/>
        <v>1558400</v>
      </c>
    </row>
    <row r="999" spans="1:8" x14ac:dyDescent="0.35">
      <c r="A999">
        <v>726016001</v>
      </c>
      <c r="B999" t="s">
        <v>1271</v>
      </c>
      <c r="C999" t="s">
        <v>92</v>
      </c>
      <c r="D999" t="s">
        <v>268</v>
      </c>
      <c r="E999" t="s">
        <v>14</v>
      </c>
      <c r="F999" s="3">
        <v>1948000</v>
      </c>
      <c r="G999" s="1">
        <v>0.2</v>
      </c>
      <c r="H999" s="3">
        <f t="shared" si="25"/>
        <v>1558400</v>
      </c>
    </row>
    <row r="1000" spans="1:8" x14ac:dyDescent="0.35">
      <c r="A1000">
        <v>726798001</v>
      </c>
      <c r="B1000" t="s">
        <v>336</v>
      </c>
      <c r="C1000" t="s">
        <v>92</v>
      </c>
      <c r="D1000" t="s">
        <v>268</v>
      </c>
      <c r="E1000" t="s">
        <v>14</v>
      </c>
      <c r="F1000" s="3">
        <v>398000</v>
      </c>
      <c r="G1000" s="1">
        <v>0.2</v>
      </c>
      <c r="H1000" s="3">
        <f t="shared" si="25"/>
        <v>318400</v>
      </c>
    </row>
    <row r="1001" spans="1:8" x14ac:dyDescent="0.35">
      <c r="A1001">
        <v>729860001</v>
      </c>
      <c r="B1001" t="s">
        <v>1272</v>
      </c>
      <c r="C1001" t="s">
        <v>92</v>
      </c>
      <c r="D1001" t="s">
        <v>268</v>
      </c>
      <c r="F1001" s="3">
        <v>3198000</v>
      </c>
      <c r="G1001" s="1">
        <v>0.2</v>
      </c>
      <c r="H1001" s="3">
        <f t="shared" si="25"/>
        <v>2558400</v>
      </c>
    </row>
    <row r="1002" spans="1:8" x14ac:dyDescent="0.35">
      <c r="A1002">
        <v>729861001</v>
      </c>
      <c r="B1002" t="s">
        <v>1273</v>
      </c>
      <c r="C1002" t="s">
        <v>92</v>
      </c>
      <c r="D1002" t="s">
        <v>268</v>
      </c>
      <c r="F1002" s="3">
        <v>3198000</v>
      </c>
      <c r="G1002" s="1">
        <v>0.2</v>
      </c>
      <c r="H1002" s="3">
        <f t="shared" si="25"/>
        <v>2558400</v>
      </c>
    </row>
    <row r="1003" spans="1:8" x14ac:dyDescent="0.35">
      <c r="A1003">
        <v>730405001</v>
      </c>
      <c r="B1003" t="s">
        <v>1274</v>
      </c>
      <c r="C1003" t="s">
        <v>92</v>
      </c>
      <c r="D1003" t="s">
        <v>268</v>
      </c>
      <c r="F1003" s="3">
        <v>4198000</v>
      </c>
      <c r="G1003" s="1">
        <v>0.2</v>
      </c>
      <c r="H1003" s="3">
        <f t="shared" si="25"/>
        <v>3358400</v>
      </c>
    </row>
    <row r="1004" spans="1:8" x14ac:dyDescent="0.35">
      <c r="A1004">
        <v>730406001</v>
      </c>
      <c r="B1004" t="s">
        <v>1275</v>
      </c>
      <c r="C1004" t="s">
        <v>92</v>
      </c>
      <c r="D1004" t="s">
        <v>268</v>
      </c>
      <c r="E1004" t="s">
        <v>14</v>
      </c>
      <c r="F1004" s="3">
        <v>4198000</v>
      </c>
      <c r="G1004" s="1">
        <v>0.2</v>
      </c>
      <c r="H1004" s="3">
        <f t="shared" si="25"/>
        <v>3358400</v>
      </c>
    </row>
    <row r="1005" spans="1:8" x14ac:dyDescent="0.35">
      <c r="A1005">
        <v>730615001</v>
      </c>
      <c r="B1005" t="s">
        <v>329</v>
      </c>
      <c r="C1005" t="s">
        <v>92</v>
      </c>
      <c r="D1005" t="s">
        <v>268</v>
      </c>
      <c r="E1005" t="s">
        <v>14</v>
      </c>
      <c r="F1005" s="3">
        <v>118000</v>
      </c>
      <c r="G1005" s="1">
        <v>0.2</v>
      </c>
      <c r="H1005" s="3">
        <f t="shared" si="25"/>
        <v>94400</v>
      </c>
    </row>
    <row r="1006" spans="1:8" x14ac:dyDescent="0.35">
      <c r="A1006">
        <v>731650001</v>
      </c>
      <c r="B1006" t="s">
        <v>335</v>
      </c>
      <c r="C1006" t="s">
        <v>92</v>
      </c>
      <c r="D1006" t="s">
        <v>268</v>
      </c>
      <c r="E1006" t="s">
        <v>14</v>
      </c>
      <c r="F1006" s="3">
        <v>398000</v>
      </c>
      <c r="G1006" s="1">
        <v>0.2</v>
      </c>
      <c r="H1006" s="3">
        <f t="shared" si="25"/>
        <v>318400</v>
      </c>
    </row>
    <row r="1007" spans="1:8" x14ac:dyDescent="0.35">
      <c r="A1007">
        <v>731854001</v>
      </c>
      <c r="B1007" t="s">
        <v>331</v>
      </c>
      <c r="C1007" t="s">
        <v>92</v>
      </c>
      <c r="D1007" t="s">
        <v>268</v>
      </c>
      <c r="E1007" t="s">
        <v>14</v>
      </c>
      <c r="F1007" s="3">
        <v>348000</v>
      </c>
      <c r="G1007" s="1">
        <v>0.2</v>
      </c>
      <c r="H1007" s="3">
        <f t="shared" si="25"/>
        <v>278400</v>
      </c>
    </row>
    <row r="1008" spans="1:8" x14ac:dyDescent="0.35">
      <c r="A1008">
        <v>731855001</v>
      </c>
      <c r="B1008" t="s">
        <v>332</v>
      </c>
      <c r="C1008" t="s">
        <v>92</v>
      </c>
      <c r="D1008" t="s">
        <v>268</v>
      </c>
      <c r="E1008" t="s">
        <v>14</v>
      </c>
      <c r="F1008" s="3">
        <v>348000</v>
      </c>
      <c r="G1008" s="1">
        <v>0.2</v>
      </c>
      <c r="H1008" s="3">
        <f t="shared" si="25"/>
        <v>278400</v>
      </c>
    </row>
    <row r="1009" spans="1:8" x14ac:dyDescent="0.35">
      <c r="A1009">
        <v>732070001</v>
      </c>
      <c r="B1009" t="s">
        <v>326</v>
      </c>
      <c r="C1009" t="s">
        <v>92</v>
      </c>
      <c r="D1009" t="s">
        <v>268</v>
      </c>
      <c r="E1009" t="s">
        <v>14</v>
      </c>
      <c r="F1009" s="3">
        <v>198000</v>
      </c>
      <c r="G1009" s="1">
        <v>0.2</v>
      </c>
      <c r="H1009" s="3">
        <f t="shared" si="25"/>
        <v>158400</v>
      </c>
    </row>
    <row r="1010" spans="1:8" x14ac:dyDescent="0.35">
      <c r="A1010">
        <v>732848001</v>
      </c>
      <c r="B1010" t="s">
        <v>1276</v>
      </c>
      <c r="C1010" t="s">
        <v>92</v>
      </c>
      <c r="D1010" t="s">
        <v>268</v>
      </c>
      <c r="F1010" s="3">
        <v>178000</v>
      </c>
      <c r="G1010" s="1">
        <v>0.2</v>
      </c>
      <c r="H1010" s="3">
        <f t="shared" si="25"/>
        <v>142400</v>
      </c>
    </row>
    <row r="1011" spans="1:8" x14ac:dyDescent="0.35">
      <c r="A1011">
        <v>733341001</v>
      </c>
      <c r="B1011" t="s">
        <v>1277</v>
      </c>
      <c r="C1011" t="s">
        <v>92</v>
      </c>
      <c r="D1011" t="s">
        <v>268</v>
      </c>
      <c r="F1011" s="3">
        <v>448000</v>
      </c>
      <c r="G1011" s="1">
        <v>0.2</v>
      </c>
      <c r="H1011" s="3">
        <f t="shared" si="25"/>
        <v>358400</v>
      </c>
    </row>
    <row r="1012" spans="1:8" x14ac:dyDescent="0.35">
      <c r="A1012">
        <v>733342001</v>
      </c>
      <c r="B1012" t="s">
        <v>1278</v>
      </c>
      <c r="C1012" t="s">
        <v>92</v>
      </c>
      <c r="D1012" t="s">
        <v>268</v>
      </c>
      <c r="F1012" s="3">
        <v>448000</v>
      </c>
      <c r="G1012" s="1">
        <v>0.2</v>
      </c>
      <c r="H1012" s="3">
        <f t="shared" si="25"/>
        <v>358400</v>
      </c>
    </row>
    <row r="1013" spans="1:8" x14ac:dyDescent="0.35">
      <c r="A1013">
        <v>735095001</v>
      </c>
      <c r="B1013" t="s">
        <v>1279</v>
      </c>
      <c r="C1013" t="s">
        <v>92</v>
      </c>
      <c r="D1013" t="s">
        <v>268</v>
      </c>
      <c r="F1013" s="3">
        <v>298000</v>
      </c>
      <c r="G1013" s="1">
        <v>0.2</v>
      </c>
      <c r="H1013" s="3">
        <f t="shared" si="25"/>
        <v>238400</v>
      </c>
    </row>
    <row r="1014" spans="1:8" x14ac:dyDescent="0.35">
      <c r="A1014">
        <v>735096001</v>
      </c>
      <c r="B1014" t="s">
        <v>1280</v>
      </c>
      <c r="C1014" t="s">
        <v>92</v>
      </c>
      <c r="D1014" t="s">
        <v>268</v>
      </c>
      <c r="F1014" s="3">
        <v>548000</v>
      </c>
      <c r="G1014" s="1">
        <v>0.2</v>
      </c>
      <c r="H1014" s="3">
        <f t="shared" si="25"/>
        <v>438400</v>
      </c>
    </row>
    <row r="1015" spans="1:8" x14ac:dyDescent="0.35">
      <c r="A1015">
        <v>735500001</v>
      </c>
      <c r="B1015" t="s">
        <v>330</v>
      </c>
      <c r="C1015" t="s">
        <v>92</v>
      </c>
      <c r="D1015" t="s">
        <v>268</v>
      </c>
      <c r="E1015" t="s">
        <v>14</v>
      </c>
      <c r="F1015" s="3">
        <v>168000</v>
      </c>
      <c r="G1015" s="1">
        <v>0.2</v>
      </c>
      <c r="H1015" s="3">
        <f t="shared" si="25"/>
        <v>134400</v>
      </c>
    </row>
    <row r="1016" spans="1:8" x14ac:dyDescent="0.35">
      <c r="A1016">
        <v>733256001</v>
      </c>
      <c r="B1016" t="s">
        <v>1281</v>
      </c>
      <c r="C1016" t="s">
        <v>1282</v>
      </c>
      <c r="D1016" t="s">
        <v>90</v>
      </c>
      <c r="E1016" t="s">
        <v>14</v>
      </c>
      <c r="F1016" s="3">
        <v>278000</v>
      </c>
      <c r="G1016" s="1">
        <v>0.5</v>
      </c>
      <c r="H1016" s="3">
        <f t="shared" si="25"/>
        <v>139000</v>
      </c>
    </row>
    <row r="1017" spans="1:8" x14ac:dyDescent="0.35">
      <c r="A1017">
        <v>733256002</v>
      </c>
      <c r="B1017" t="s">
        <v>1283</v>
      </c>
      <c r="C1017" t="s">
        <v>1282</v>
      </c>
      <c r="D1017" t="s">
        <v>90</v>
      </c>
      <c r="E1017" t="s">
        <v>14</v>
      </c>
      <c r="F1017" s="3">
        <v>278000</v>
      </c>
      <c r="G1017" s="1">
        <v>0.5</v>
      </c>
      <c r="H1017" s="3">
        <f t="shared" si="25"/>
        <v>139000</v>
      </c>
    </row>
    <row r="1018" spans="1:8" x14ac:dyDescent="0.35">
      <c r="A1018">
        <v>733256003</v>
      </c>
      <c r="B1018" t="s">
        <v>1284</v>
      </c>
      <c r="C1018" t="s">
        <v>1282</v>
      </c>
      <c r="D1018" t="s">
        <v>90</v>
      </c>
      <c r="E1018" t="s">
        <v>14</v>
      </c>
      <c r="F1018" s="3">
        <v>278000</v>
      </c>
      <c r="G1018" s="1">
        <v>0.5</v>
      </c>
      <c r="H1018" s="3">
        <f t="shared" si="25"/>
        <v>139000</v>
      </c>
    </row>
    <row r="1019" spans="1:8" x14ac:dyDescent="0.35">
      <c r="A1019">
        <v>733257001</v>
      </c>
      <c r="B1019" t="s">
        <v>1285</v>
      </c>
      <c r="C1019" t="s">
        <v>1282</v>
      </c>
      <c r="D1019" t="s">
        <v>90</v>
      </c>
      <c r="E1019" t="s">
        <v>14</v>
      </c>
      <c r="F1019" s="3">
        <v>298000</v>
      </c>
      <c r="G1019" s="1">
        <v>0.5</v>
      </c>
      <c r="H1019" s="3">
        <f t="shared" si="25"/>
        <v>149000</v>
      </c>
    </row>
    <row r="1020" spans="1:8" x14ac:dyDescent="0.35">
      <c r="A1020">
        <v>733257002</v>
      </c>
      <c r="B1020" t="s">
        <v>1286</v>
      </c>
      <c r="C1020" t="s">
        <v>1282</v>
      </c>
      <c r="D1020" t="s">
        <v>90</v>
      </c>
      <c r="E1020" t="s">
        <v>14</v>
      </c>
      <c r="F1020" s="3">
        <v>298000</v>
      </c>
      <c r="G1020" s="1">
        <v>0.5</v>
      </c>
      <c r="H1020" s="3">
        <f t="shared" si="25"/>
        <v>149000</v>
      </c>
    </row>
    <row r="1021" spans="1:8" x14ac:dyDescent="0.35">
      <c r="A1021">
        <v>733258004</v>
      </c>
      <c r="B1021" t="s">
        <v>1287</v>
      </c>
      <c r="C1021" t="s">
        <v>1282</v>
      </c>
      <c r="D1021" t="s">
        <v>90</v>
      </c>
      <c r="E1021" t="s">
        <v>14</v>
      </c>
      <c r="F1021" s="3">
        <v>328000</v>
      </c>
      <c r="G1021" s="1">
        <v>0.5</v>
      </c>
      <c r="H1021" s="3">
        <f t="shared" si="25"/>
        <v>164000</v>
      </c>
    </row>
    <row r="1022" spans="1:8" x14ac:dyDescent="0.35">
      <c r="A1022">
        <v>733259001</v>
      </c>
      <c r="B1022" t="s">
        <v>1288</v>
      </c>
      <c r="C1022" t="s">
        <v>1282</v>
      </c>
      <c r="D1022" t="s">
        <v>90</v>
      </c>
      <c r="E1022" t="s">
        <v>14</v>
      </c>
      <c r="F1022" s="3">
        <v>298000</v>
      </c>
      <c r="G1022" s="1">
        <v>0.5</v>
      </c>
      <c r="H1022" s="3">
        <f t="shared" si="25"/>
        <v>149000</v>
      </c>
    </row>
    <row r="1023" spans="1:8" x14ac:dyDescent="0.35">
      <c r="A1023">
        <v>733259002</v>
      </c>
      <c r="B1023" t="s">
        <v>1289</v>
      </c>
      <c r="C1023" t="s">
        <v>1282</v>
      </c>
      <c r="D1023" t="s">
        <v>90</v>
      </c>
      <c r="E1023" t="s">
        <v>14</v>
      </c>
      <c r="F1023" s="3">
        <v>298000</v>
      </c>
      <c r="G1023" s="1">
        <v>0.5</v>
      </c>
      <c r="H1023" s="3">
        <f t="shared" si="25"/>
        <v>149000</v>
      </c>
    </row>
    <row r="1024" spans="1:8" x14ac:dyDescent="0.35">
      <c r="A1024">
        <v>733260001</v>
      </c>
      <c r="B1024" t="s">
        <v>1290</v>
      </c>
      <c r="C1024" t="s">
        <v>1282</v>
      </c>
      <c r="D1024" t="s">
        <v>90</v>
      </c>
      <c r="E1024" t="s">
        <v>14</v>
      </c>
      <c r="F1024" s="3">
        <v>398000</v>
      </c>
      <c r="G1024" s="1">
        <v>0.5</v>
      </c>
      <c r="H1024" s="3">
        <f t="shared" si="25"/>
        <v>199000</v>
      </c>
    </row>
    <row r="1025" spans="1:8" x14ac:dyDescent="0.35">
      <c r="A1025">
        <v>733260002</v>
      </c>
      <c r="B1025" t="s">
        <v>1291</v>
      </c>
      <c r="C1025" t="s">
        <v>1282</v>
      </c>
      <c r="D1025" t="s">
        <v>90</v>
      </c>
      <c r="E1025" t="s">
        <v>14</v>
      </c>
      <c r="F1025" s="3">
        <v>398000</v>
      </c>
      <c r="G1025" s="1">
        <v>0.5</v>
      </c>
      <c r="H1025" s="3">
        <f t="shared" si="25"/>
        <v>199000</v>
      </c>
    </row>
    <row r="1026" spans="1:8" x14ac:dyDescent="0.35">
      <c r="A1026">
        <v>737166001</v>
      </c>
      <c r="B1026" t="s">
        <v>1292</v>
      </c>
      <c r="C1026" t="s">
        <v>92</v>
      </c>
      <c r="D1026" t="s">
        <v>90</v>
      </c>
      <c r="E1026" t="s">
        <v>14</v>
      </c>
      <c r="F1026" s="3">
        <v>698000</v>
      </c>
      <c r="G1026" s="1">
        <v>0.2</v>
      </c>
      <c r="H1026" s="3">
        <f t="shared" si="25"/>
        <v>558400</v>
      </c>
    </row>
    <row r="1027" spans="1:8" x14ac:dyDescent="0.35">
      <c r="A1027">
        <v>737166002</v>
      </c>
      <c r="B1027" t="s">
        <v>1293</v>
      </c>
      <c r="C1027" t="s">
        <v>92</v>
      </c>
      <c r="D1027" t="s">
        <v>90</v>
      </c>
      <c r="E1027" t="s">
        <v>14</v>
      </c>
      <c r="F1027" s="3">
        <v>698000</v>
      </c>
      <c r="G1027" s="1">
        <v>0.2</v>
      </c>
      <c r="H1027" s="3">
        <f t="shared" si="25"/>
        <v>558400</v>
      </c>
    </row>
    <row r="1028" spans="1:8" x14ac:dyDescent="0.35">
      <c r="A1028">
        <v>734290</v>
      </c>
      <c r="B1028" t="s">
        <v>1294</v>
      </c>
      <c r="C1028" t="s">
        <v>488</v>
      </c>
      <c r="D1028" t="s">
        <v>111</v>
      </c>
      <c r="E1028" t="s">
        <v>14</v>
      </c>
      <c r="F1028" s="3">
        <v>99000</v>
      </c>
      <c r="G1028" s="1">
        <v>0.2</v>
      </c>
      <c r="H1028" s="3">
        <f t="shared" si="25"/>
        <v>79200</v>
      </c>
    </row>
    <row r="1029" spans="1:8" x14ac:dyDescent="0.35">
      <c r="A1029">
        <v>735008</v>
      </c>
      <c r="B1029" t="s">
        <v>1295</v>
      </c>
      <c r="C1029" t="s">
        <v>488</v>
      </c>
      <c r="D1029" t="s">
        <v>111</v>
      </c>
      <c r="E1029" t="s">
        <v>14</v>
      </c>
      <c r="F1029" s="3">
        <v>99000</v>
      </c>
      <c r="G1029" s="1">
        <v>0.2</v>
      </c>
      <c r="H1029" s="3">
        <f t="shared" si="25"/>
        <v>79200</v>
      </c>
    </row>
    <row r="1030" spans="1:8" x14ac:dyDescent="0.35">
      <c r="A1030">
        <v>735778</v>
      </c>
      <c r="B1030" t="s">
        <v>1296</v>
      </c>
      <c r="C1030" t="s">
        <v>488</v>
      </c>
      <c r="D1030" t="s">
        <v>111</v>
      </c>
      <c r="E1030" t="s">
        <v>14</v>
      </c>
      <c r="F1030" s="3">
        <v>99000</v>
      </c>
      <c r="G1030" s="1">
        <v>0.2</v>
      </c>
      <c r="H1030" s="3">
        <f t="shared" si="25"/>
        <v>79200</v>
      </c>
    </row>
    <row r="1031" spans="1:8" x14ac:dyDescent="0.35">
      <c r="A1031">
        <v>733262001</v>
      </c>
      <c r="B1031" t="s">
        <v>1297</v>
      </c>
      <c r="C1031" t="s">
        <v>1282</v>
      </c>
      <c r="D1031" t="s">
        <v>53</v>
      </c>
      <c r="E1031" t="s">
        <v>14</v>
      </c>
      <c r="F1031" s="3">
        <v>278000</v>
      </c>
      <c r="G1031" s="1">
        <v>0.5</v>
      </c>
      <c r="H1031" s="3">
        <f t="shared" si="25"/>
        <v>139000</v>
      </c>
    </row>
    <row r="1032" spans="1:8" x14ac:dyDescent="0.35">
      <c r="A1032">
        <v>733262002</v>
      </c>
      <c r="B1032" t="s">
        <v>1298</v>
      </c>
      <c r="C1032" t="s">
        <v>1282</v>
      </c>
      <c r="D1032" t="s">
        <v>53</v>
      </c>
      <c r="E1032" t="s">
        <v>14</v>
      </c>
      <c r="F1032" s="3">
        <v>278000</v>
      </c>
      <c r="G1032" s="1">
        <v>0.5</v>
      </c>
      <c r="H1032" s="3">
        <f t="shared" si="25"/>
        <v>139000</v>
      </c>
    </row>
    <row r="1033" spans="1:8" x14ac:dyDescent="0.35">
      <c r="A1033">
        <v>733262003</v>
      </c>
      <c r="B1033" t="s">
        <v>1299</v>
      </c>
      <c r="C1033" t="s">
        <v>1282</v>
      </c>
      <c r="D1033" t="s">
        <v>53</v>
      </c>
      <c r="E1033" t="s">
        <v>14</v>
      </c>
      <c r="F1033" s="3">
        <v>278000</v>
      </c>
      <c r="G1033" s="1">
        <v>0.5</v>
      </c>
      <c r="H1033" s="3">
        <f t="shared" si="25"/>
        <v>139000</v>
      </c>
    </row>
    <row r="1034" spans="1:8" x14ac:dyDescent="0.35">
      <c r="A1034">
        <v>733263001</v>
      </c>
      <c r="B1034" t="s">
        <v>1300</v>
      </c>
      <c r="C1034" t="s">
        <v>1282</v>
      </c>
      <c r="D1034" t="s">
        <v>53</v>
      </c>
      <c r="E1034" t="s">
        <v>14</v>
      </c>
      <c r="F1034" s="3">
        <v>298000</v>
      </c>
      <c r="G1034" s="1">
        <v>0.5</v>
      </c>
      <c r="H1034" s="3">
        <f t="shared" si="25"/>
        <v>149000</v>
      </c>
    </row>
    <row r="1035" spans="1:8" x14ac:dyDescent="0.35">
      <c r="A1035">
        <v>733263002</v>
      </c>
      <c r="B1035" t="s">
        <v>1301</v>
      </c>
      <c r="C1035" t="s">
        <v>1282</v>
      </c>
      <c r="D1035" t="s">
        <v>53</v>
      </c>
      <c r="E1035" t="s">
        <v>14</v>
      </c>
      <c r="F1035" s="3">
        <v>298000</v>
      </c>
      <c r="G1035" s="1">
        <v>0.5</v>
      </c>
      <c r="H1035" s="3">
        <f t="shared" si="25"/>
        <v>149000</v>
      </c>
    </row>
    <row r="1036" spans="1:8" x14ac:dyDescent="0.35">
      <c r="A1036">
        <v>729740001</v>
      </c>
      <c r="B1036" t="s">
        <v>1302</v>
      </c>
      <c r="C1036" t="s">
        <v>368</v>
      </c>
      <c r="D1036" t="s">
        <v>53</v>
      </c>
      <c r="E1036" t="s">
        <v>14</v>
      </c>
      <c r="F1036" s="3">
        <v>528000</v>
      </c>
      <c r="G1036" s="1">
        <v>0.5</v>
      </c>
      <c r="H1036" s="3">
        <f t="shared" si="25"/>
        <v>264000</v>
      </c>
    </row>
    <row r="1037" spans="1:8" x14ac:dyDescent="0.35">
      <c r="A1037">
        <v>729740005</v>
      </c>
      <c r="B1037" t="s">
        <v>1303</v>
      </c>
      <c r="C1037" t="s">
        <v>368</v>
      </c>
      <c r="D1037" t="s">
        <v>53</v>
      </c>
      <c r="E1037" t="s">
        <v>14</v>
      </c>
      <c r="F1037" s="3">
        <v>528000</v>
      </c>
      <c r="G1037" s="1">
        <v>0.5</v>
      </c>
      <c r="H1037" s="3">
        <f t="shared" si="25"/>
        <v>264000</v>
      </c>
    </row>
    <row r="1038" spans="1:8" x14ac:dyDescent="0.35">
      <c r="A1038">
        <v>729740009</v>
      </c>
      <c r="B1038" t="s">
        <v>1304</v>
      </c>
      <c r="C1038" t="s">
        <v>368</v>
      </c>
      <c r="D1038" t="s">
        <v>53</v>
      </c>
      <c r="E1038" t="s">
        <v>14</v>
      </c>
      <c r="F1038" s="3">
        <v>528000</v>
      </c>
      <c r="G1038" s="1">
        <v>0.5</v>
      </c>
      <c r="H1038" s="3">
        <f t="shared" si="25"/>
        <v>264000</v>
      </c>
    </row>
    <row r="1039" spans="1:8" x14ac:dyDescent="0.35">
      <c r="A1039">
        <v>735655001</v>
      </c>
      <c r="B1039" t="s">
        <v>542</v>
      </c>
      <c r="C1039" t="s">
        <v>92</v>
      </c>
      <c r="D1039" t="s">
        <v>53</v>
      </c>
      <c r="E1039" t="s">
        <v>14</v>
      </c>
      <c r="F1039" s="3">
        <v>1648000</v>
      </c>
      <c r="G1039" s="1">
        <v>0.2</v>
      </c>
      <c r="H1039" s="3">
        <f t="shared" si="25"/>
        <v>1318400</v>
      </c>
    </row>
    <row r="1040" spans="1:8" x14ac:dyDescent="0.35">
      <c r="A1040">
        <v>735655002</v>
      </c>
      <c r="B1040" t="s">
        <v>543</v>
      </c>
      <c r="C1040" t="s">
        <v>92</v>
      </c>
      <c r="D1040" t="s">
        <v>53</v>
      </c>
      <c r="E1040" t="s">
        <v>14</v>
      </c>
      <c r="F1040" s="3">
        <v>1648000</v>
      </c>
      <c r="G1040" s="1">
        <v>0.2</v>
      </c>
      <c r="H1040" s="3">
        <f t="shared" si="25"/>
        <v>1318400</v>
      </c>
    </row>
    <row r="1041" spans="1:8" x14ac:dyDescent="0.35">
      <c r="A1041">
        <v>735663002</v>
      </c>
      <c r="B1041" t="s">
        <v>95</v>
      </c>
      <c r="C1041" t="s">
        <v>92</v>
      </c>
      <c r="D1041" t="s">
        <v>53</v>
      </c>
      <c r="E1041" t="s">
        <v>14</v>
      </c>
      <c r="F1041" s="3">
        <v>2998000</v>
      </c>
      <c r="G1041" s="1">
        <v>0.2</v>
      </c>
      <c r="H1041" s="3">
        <f t="shared" si="25"/>
        <v>2398400</v>
      </c>
    </row>
    <row r="1042" spans="1:8" x14ac:dyDescent="0.35">
      <c r="A1042">
        <v>735664003</v>
      </c>
      <c r="B1042" t="s">
        <v>544</v>
      </c>
      <c r="C1042" t="s">
        <v>92</v>
      </c>
      <c r="D1042" t="s">
        <v>53</v>
      </c>
      <c r="E1042" t="s">
        <v>14</v>
      </c>
      <c r="F1042" s="3">
        <v>3698000</v>
      </c>
      <c r="G1042" s="1">
        <v>0.2</v>
      </c>
      <c r="H1042" s="3">
        <f t="shared" si="25"/>
        <v>2958400</v>
      </c>
    </row>
    <row r="1043" spans="1:8" x14ac:dyDescent="0.35">
      <c r="A1043">
        <v>735664004</v>
      </c>
      <c r="B1043" t="s">
        <v>94</v>
      </c>
      <c r="C1043" t="s">
        <v>92</v>
      </c>
      <c r="D1043" t="s">
        <v>53</v>
      </c>
      <c r="E1043" t="s">
        <v>14</v>
      </c>
      <c r="F1043" s="3">
        <v>3698000</v>
      </c>
      <c r="G1043" s="1">
        <v>0.2</v>
      </c>
      <c r="H1043" s="3">
        <f t="shared" si="25"/>
        <v>2958400</v>
      </c>
    </row>
    <row r="1044" spans="1:8" x14ac:dyDescent="0.35">
      <c r="A1044">
        <v>737169002</v>
      </c>
      <c r="B1044" t="s">
        <v>1305</v>
      </c>
      <c r="C1044" t="s">
        <v>92</v>
      </c>
      <c r="D1044" t="s">
        <v>53</v>
      </c>
      <c r="E1044" t="s">
        <v>14</v>
      </c>
      <c r="F1044" s="3">
        <v>1298000</v>
      </c>
      <c r="G1044" s="1">
        <v>0.2</v>
      </c>
      <c r="H1044" s="3">
        <f t="shared" si="25"/>
        <v>1038400</v>
      </c>
    </row>
    <row r="1045" spans="1:8" x14ac:dyDescent="0.35">
      <c r="A1045">
        <v>737169003</v>
      </c>
      <c r="B1045" t="s">
        <v>545</v>
      </c>
      <c r="C1045" t="s">
        <v>92</v>
      </c>
      <c r="D1045" t="s">
        <v>53</v>
      </c>
      <c r="E1045" t="s">
        <v>14</v>
      </c>
      <c r="F1045" s="3">
        <v>1298000</v>
      </c>
      <c r="G1045" s="1">
        <v>0.2</v>
      </c>
      <c r="H1045" s="3">
        <f t="shared" si="25"/>
        <v>1038400</v>
      </c>
    </row>
    <row r="1046" spans="1:8" x14ac:dyDescent="0.35">
      <c r="A1046">
        <v>737169004</v>
      </c>
      <c r="B1046" t="s">
        <v>1306</v>
      </c>
      <c r="C1046" t="s">
        <v>92</v>
      </c>
      <c r="D1046" t="s">
        <v>53</v>
      </c>
      <c r="E1046" t="s">
        <v>14</v>
      </c>
      <c r="F1046" s="3">
        <v>1298000</v>
      </c>
      <c r="G1046" s="1">
        <v>0.2</v>
      </c>
      <c r="H1046" s="3">
        <f t="shared" si="25"/>
        <v>1038400</v>
      </c>
    </row>
    <row r="1047" spans="1:8" x14ac:dyDescent="0.35">
      <c r="A1047">
        <v>737171003</v>
      </c>
      <c r="B1047" t="s">
        <v>1307</v>
      </c>
      <c r="C1047" t="s">
        <v>92</v>
      </c>
      <c r="D1047" t="s">
        <v>53</v>
      </c>
      <c r="E1047" t="s">
        <v>14</v>
      </c>
      <c r="F1047" s="3">
        <v>1548000</v>
      </c>
      <c r="G1047" s="1">
        <v>0.2</v>
      </c>
      <c r="H1047" s="3">
        <f t="shared" si="25"/>
        <v>1238400</v>
      </c>
    </row>
    <row r="1048" spans="1:8" x14ac:dyDescent="0.35">
      <c r="A1048">
        <v>737171004</v>
      </c>
      <c r="B1048" t="s">
        <v>546</v>
      </c>
      <c r="C1048" t="s">
        <v>92</v>
      </c>
      <c r="D1048" t="s">
        <v>53</v>
      </c>
      <c r="E1048" t="s">
        <v>14</v>
      </c>
      <c r="F1048" s="3">
        <v>1548000</v>
      </c>
      <c r="G1048" s="1">
        <v>0.2</v>
      </c>
      <c r="H1048" s="3">
        <f t="shared" si="25"/>
        <v>1238400</v>
      </c>
    </row>
    <row r="1049" spans="1:8" x14ac:dyDescent="0.35">
      <c r="A1049">
        <v>737510001</v>
      </c>
      <c r="B1049" t="s">
        <v>547</v>
      </c>
      <c r="C1049" t="s">
        <v>92</v>
      </c>
      <c r="D1049" t="s">
        <v>53</v>
      </c>
      <c r="E1049" t="s">
        <v>14</v>
      </c>
      <c r="F1049" s="3">
        <v>1648000</v>
      </c>
      <c r="G1049" s="1">
        <v>0.2</v>
      </c>
      <c r="H1049" s="3">
        <f t="shared" si="25"/>
        <v>1318400</v>
      </c>
    </row>
    <row r="1050" spans="1:8" x14ac:dyDescent="0.35">
      <c r="A1050">
        <v>728804006</v>
      </c>
      <c r="B1050" t="s">
        <v>1308</v>
      </c>
      <c r="C1050" t="s">
        <v>89</v>
      </c>
      <c r="D1050" t="s">
        <v>53</v>
      </c>
      <c r="E1050" t="s">
        <v>14</v>
      </c>
      <c r="F1050" s="3">
        <v>348000</v>
      </c>
      <c r="G1050" s="1">
        <v>0.3</v>
      </c>
      <c r="H1050" s="3">
        <f t="shared" si="25"/>
        <v>243599.99999999997</v>
      </c>
    </row>
    <row r="1051" spans="1:8" x14ac:dyDescent="0.35">
      <c r="A1051">
        <v>733010005</v>
      </c>
      <c r="B1051" t="s">
        <v>1309</v>
      </c>
      <c r="C1051" t="s">
        <v>89</v>
      </c>
      <c r="D1051" t="s">
        <v>53</v>
      </c>
      <c r="E1051" t="s">
        <v>14</v>
      </c>
      <c r="F1051" s="3">
        <v>548000</v>
      </c>
      <c r="G1051" s="1">
        <v>0.3</v>
      </c>
      <c r="H1051" s="3">
        <f t="shared" si="25"/>
        <v>383600</v>
      </c>
    </row>
    <row r="1052" spans="1:8" x14ac:dyDescent="0.35">
      <c r="A1052">
        <v>734113005</v>
      </c>
      <c r="B1052" t="s">
        <v>1310</v>
      </c>
      <c r="C1052" t="s">
        <v>89</v>
      </c>
      <c r="D1052" t="s">
        <v>53</v>
      </c>
      <c r="E1052" t="s">
        <v>14</v>
      </c>
      <c r="F1052" s="3">
        <v>398000</v>
      </c>
      <c r="G1052" s="1">
        <v>0.5</v>
      </c>
      <c r="H1052" s="3">
        <f t="shared" si="25"/>
        <v>199000</v>
      </c>
    </row>
    <row r="1053" spans="1:8" x14ac:dyDescent="0.35">
      <c r="A1053">
        <v>737441001</v>
      </c>
      <c r="B1053" t="s">
        <v>1311</v>
      </c>
      <c r="C1053" t="s">
        <v>89</v>
      </c>
      <c r="D1053" t="s">
        <v>53</v>
      </c>
      <c r="E1053" t="s">
        <v>14</v>
      </c>
      <c r="F1053" s="3">
        <v>778000</v>
      </c>
      <c r="G1053" s="1">
        <v>0.3</v>
      </c>
      <c r="H1053" s="3">
        <f t="shared" si="25"/>
        <v>544600</v>
      </c>
    </row>
    <row r="1054" spans="1:8" x14ac:dyDescent="0.35">
      <c r="A1054">
        <v>737441006</v>
      </c>
      <c r="B1054" t="s">
        <v>1312</v>
      </c>
      <c r="C1054" t="s">
        <v>89</v>
      </c>
      <c r="D1054" t="s">
        <v>53</v>
      </c>
      <c r="E1054" t="s">
        <v>14</v>
      </c>
      <c r="F1054" s="3">
        <v>778000</v>
      </c>
      <c r="G1054" s="1">
        <v>0.3</v>
      </c>
      <c r="H1054" s="3">
        <f t="shared" si="25"/>
        <v>544600</v>
      </c>
    </row>
    <row r="1055" spans="1:8" x14ac:dyDescent="0.35">
      <c r="A1055">
        <v>737442001</v>
      </c>
      <c r="B1055" t="s">
        <v>1313</v>
      </c>
      <c r="C1055" t="s">
        <v>89</v>
      </c>
      <c r="D1055" t="s">
        <v>53</v>
      </c>
      <c r="E1055" t="s">
        <v>14</v>
      </c>
      <c r="F1055" s="3">
        <v>798000</v>
      </c>
      <c r="G1055" s="1">
        <v>0.3</v>
      </c>
      <c r="H1055" s="3">
        <f t="shared" si="25"/>
        <v>558600</v>
      </c>
    </row>
    <row r="1056" spans="1:8" x14ac:dyDescent="0.35">
      <c r="A1056">
        <v>737442002</v>
      </c>
      <c r="B1056" t="s">
        <v>1314</v>
      </c>
      <c r="C1056" t="s">
        <v>89</v>
      </c>
      <c r="D1056" t="s">
        <v>53</v>
      </c>
      <c r="E1056" t="s">
        <v>14</v>
      </c>
      <c r="F1056" s="3">
        <v>798000</v>
      </c>
      <c r="G1056" s="1">
        <v>0.3</v>
      </c>
      <c r="H1056" s="3">
        <f t="shared" si="25"/>
        <v>558600</v>
      </c>
    </row>
    <row r="1057" spans="1:8" x14ac:dyDescent="0.35">
      <c r="A1057">
        <v>737442003</v>
      </c>
      <c r="B1057" t="s">
        <v>1315</v>
      </c>
      <c r="C1057" t="s">
        <v>89</v>
      </c>
      <c r="D1057" t="s">
        <v>53</v>
      </c>
      <c r="E1057" t="s">
        <v>14</v>
      </c>
      <c r="F1057" s="3">
        <v>798000</v>
      </c>
      <c r="G1057" s="1">
        <v>0.3</v>
      </c>
      <c r="H1057" s="3">
        <f t="shared" si="25"/>
        <v>558600</v>
      </c>
    </row>
    <row r="1058" spans="1:8" x14ac:dyDescent="0.35">
      <c r="A1058">
        <v>737442004</v>
      </c>
      <c r="B1058" t="s">
        <v>1316</v>
      </c>
      <c r="C1058" t="s">
        <v>89</v>
      </c>
      <c r="D1058" t="s">
        <v>53</v>
      </c>
      <c r="E1058" t="s">
        <v>14</v>
      </c>
      <c r="F1058" s="3">
        <v>798000</v>
      </c>
      <c r="G1058" s="1">
        <v>0.3</v>
      </c>
      <c r="H1058" s="3">
        <f t="shared" si="25"/>
        <v>558600</v>
      </c>
    </row>
    <row r="1059" spans="1:8" x14ac:dyDescent="0.35">
      <c r="A1059">
        <v>737442005</v>
      </c>
      <c r="B1059" t="s">
        <v>1317</v>
      </c>
      <c r="C1059" t="s">
        <v>89</v>
      </c>
      <c r="D1059" t="s">
        <v>53</v>
      </c>
      <c r="E1059" t="s">
        <v>14</v>
      </c>
      <c r="F1059" s="3">
        <v>798000</v>
      </c>
      <c r="G1059" s="1">
        <v>0.3</v>
      </c>
      <c r="H1059" s="3">
        <f t="shared" ref="H1059:H1074" si="26">F1059*(1-G1059)</f>
        <v>558600</v>
      </c>
    </row>
    <row r="1060" spans="1:8" x14ac:dyDescent="0.35">
      <c r="A1060">
        <v>732537</v>
      </c>
      <c r="B1060" t="s">
        <v>1318</v>
      </c>
      <c r="C1060" t="s">
        <v>555</v>
      </c>
      <c r="D1060" t="s">
        <v>252</v>
      </c>
      <c r="E1060" t="s">
        <v>14</v>
      </c>
      <c r="F1060" s="3">
        <v>98000</v>
      </c>
      <c r="G1060" s="1">
        <v>0.7</v>
      </c>
      <c r="H1060" s="3">
        <f t="shared" si="26"/>
        <v>29400.000000000004</v>
      </c>
    </row>
    <row r="1061" spans="1:8" x14ac:dyDescent="0.35">
      <c r="A1061">
        <v>201610</v>
      </c>
      <c r="B1061" t="s">
        <v>1319</v>
      </c>
      <c r="C1061" t="s">
        <v>368</v>
      </c>
      <c r="D1061" t="s">
        <v>112</v>
      </c>
      <c r="E1061" t="s">
        <v>14</v>
      </c>
      <c r="F1061" s="3">
        <v>40000</v>
      </c>
      <c r="G1061" s="1">
        <v>0.5</v>
      </c>
      <c r="H1061" s="3">
        <f t="shared" si="26"/>
        <v>20000</v>
      </c>
    </row>
    <row r="1062" spans="1:8" x14ac:dyDescent="0.35">
      <c r="A1062">
        <v>201777</v>
      </c>
      <c r="B1062" t="s">
        <v>1320</v>
      </c>
      <c r="C1062" t="s">
        <v>368</v>
      </c>
      <c r="D1062" t="s">
        <v>112</v>
      </c>
      <c r="E1062" t="s">
        <v>14</v>
      </c>
      <c r="F1062" s="3">
        <v>225000</v>
      </c>
      <c r="G1062" s="1">
        <v>0.5</v>
      </c>
      <c r="H1062" s="3">
        <f t="shared" si="26"/>
        <v>112500</v>
      </c>
    </row>
    <row r="1063" spans="1:8" x14ac:dyDescent="0.35">
      <c r="A1063">
        <v>716041001</v>
      </c>
      <c r="B1063" t="s">
        <v>1321</v>
      </c>
      <c r="C1063" t="s">
        <v>12</v>
      </c>
      <c r="D1063" t="s">
        <v>1322</v>
      </c>
      <c r="E1063" t="s">
        <v>14</v>
      </c>
      <c r="F1063" s="3">
        <v>478000</v>
      </c>
      <c r="G1063" s="1">
        <v>0.5</v>
      </c>
      <c r="H1063" s="3">
        <f t="shared" si="26"/>
        <v>239000</v>
      </c>
    </row>
    <row r="1064" spans="1:8" x14ac:dyDescent="0.35">
      <c r="A1064">
        <v>726143001</v>
      </c>
      <c r="B1064" t="s">
        <v>1323</v>
      </c>
      <c r="C1064" t="s">
        <v>12</v>
      </c>
      <c r="D1064" t="s">
        <v>1322</v>
      </c>
      <c r="E1064" t="s">
        <v>14</v>
      </c>
      <c r="F1064" s="3">
        <v>1098000</v>
      </c>
      <c r="G1064" s="1">
        <v>0.5</v>
      </c>
      <c r="H1064" s="3">
        <f t="shared" si="26"/>
        <v>549000</v>
      </c>
    </row>
    <row r="1065" spans="1:8" x14ac:dyDescent="0.35">
      <c r="A1065">
        <v>500858001</v>
      </c>
      <c r="B1065" t="s">
        <v>1324</v>
      </c>
      <c r="C1065" t="s">
        <v>428</v>
      </c>
      <c r="D1065" t="s">
        <v>1322</v>
      </c>
      <c r="E1065" t="s">
        <v>14</v>
      </c>
      <c r="F1065" s="3">
        <v>780000</v>
      </c>
      <c r="G1065" s="1">
        <v>0.5</v>
      </c>
      <c r="H1065" s="3">
        <f t="shared" si="26"/>
        <v>390000</v>
      </c>
    </row>
    <row r="1066" spans="1:8" x14ac:dyDescent="0.35">
      <c r="A1066">
        <v>500859001</v>
      </c>
      <c r="B1066" t="s">
        <v>1325</v>
      </c>
      <c r="C1066" t="s">
        <v>428</v>
      </c>
      <c r="D1066" t="s">
        <v>1322</v>
      </c>
      <c r="E1066" t="s">
        <v>14</v>
      </c>
      <c r="F1066" s="3">
        <v>1056000</v>
      </c>
      <c r="G1066" s="1">
        <v>0.5</v>
      </c>
      <c r="H1066" s="3">
        <f t="shared" si="26"/>
        <v>528000</v>
      </c>
    </row>
    <row r="1067" spans="1:8" x14ac:dyDescent="0.35">
      <c r="A1067">
        <v>711676001</v>
      </c>
      <c r="B1067" t="s">
        <v>1326</v>
      </c>
      <c r="C1067" t="s">
        <v>428</v>
      </c>
      <c r="D1067" t="s">
        <v>1322</v>
      </c>
      <c r="E1067" t="s">
        <v>14</v>
      </c>
      <c r="F1067" s="3">
        <v>2648000</v>
      </c>
      <c r="G1067" s="1">
        <v>0.5</v>
      </c>
      <c r="H1067" s="3">
        <f t="shared" si="26"/>
        <v>1324000</v>
      </c>
    </row>
    <row r="1068" spans="1:8" x14ac:dyDescent="0.35">
      <c r="A1068">
        <v>718055001</v>
      </c>
      <c r="B1068" t="s">
        <v>1327</v>
      </c>
      <c r="C1068" t="s">
        <v>428</v>
      </c>
      <c r="D1068" t="s">
        <v>1322</v>
      </c>
      <c r="E1068" t="s">
        <v>14</v>
      </c>
      <c r="F1068" s="3">
        <v>298000</v>
      </c>
      <c r="G1068" s="1">
        <v>0.5</v>
      </c>
      <c r="H1068" s="3">
        <f t="shared" si="26"/>
        <v>149000</v>
      </c>
    </row>
    <row r="1069" spans="1:8" x14ac:dyDescent="0.35">
      <c r="A1069">
        <v>722315001</v>
      </c>
      <c r="B1069" t="s">
        <v>1328</v>
      </c>
      <c r="C1069" t="s">
        <v>428</v>
      </c>
      <c r="D1069" t="s">
        <v>1322</v>
      </c>
      <c r="E1069" t="s">
        <v>14</v>
      </c>
      <c r="F1069" s="3">
        <v>298000</v>
      </c>
      <c r="G1069" s="1">
        <v>0.8</v>
      </c>
      <c r="H1069" s="3">
        <f t="shared" si="26"/>
        <v>59599.999999999985</v>
      </c>
    </row>
    <row r="1070" spans="1:8" x14ac:dyDescent="0.35">
      <c r="A1070">
        <v>724941001</v>
      </c>
      <c r="B1070" t="s">
        <v>1329</v>
      </c>
      <c r="C1070" t="s">
        <v>428</v>
      </c>
      <c r="D1070" t="s">
        <v>1322</v>
      </c>
      <c r="E1070" t="s">
        <v>14</v>
      </c>
      <c r="F1070" s="3">
        <v>398000</v>
      </c>
      <c r="G1070" s="1">
        <v>0.5</v>
      </c>
      <c r="H1070" s="3">
        <f t="shared" si="26"/>
        <v>199000</v>
      </c>
    </row>
    <row r="1071" spans="1:8" x14ac:dyDescent="0.35">
      <c r="A1071">
        <v>727029001</v>
      </c>
      <c r="B1071" t="s">
        <v>1330</v>
      </c>
      <c r="C1071" t="s">
        <v>428</v>
      </c>
      <c r="D1071" t="s">
        <v>1322</v>
      </c>
      <c r="E1071" t="s">
        <v>14</v>
      </c>
      <c r="F1071" s="3">
        <v>1628000</v>
      </c>
      <c r="G1071" s="1">
        <v>0.5</v>
      </c>
      <c r="H1071" s="3">
        <f t="shared" si="26"/>
        <v>814000</v>
      </c>
    </row>
    <row r="1072" spans="1:8" x14ac:dyDescent="0.35">
      <c r="A1072">
        <v>727969001</v>
      </c>
      <c r="B1072" t="s">
        <v>1331</v>
      </c>
      <c r="C1072" t="s">
        <v>428</v>
      </c>
      <c r="D1072" t="s">
        <v>1322</v>
      </c>
      <c r="E1072" t="s">
        <v>14</v>
      </c>
      <c r="F1072" s="3">
        <v>578000</v>
      </c>
      <c r="G1072" s="1">
        <v>0.5</v>
      </c>
      <c r="H1072" s="3">
        <f t="shared" si="26"/>
        <v>289000</v>
      </c>
    </row>
    <row r="1073" spans="1:8" x14ac:dyDescent="0.35">
      <c r="A1073">
        <v>729171001</v>
      </c>
      <c r="B1073" t="s">
        <v>1332</v>
      </c>
      <c r="C1073" t="s">
        <v>428</v>
      </c>
      <c r="D1073" t="s">
        <v>1322</v>
      </c>
      <c r="E1073" t="s">
        <v>14</v>
      </c>
      <c r="F1073" s="3">
        <v>298000</v>
      </c>
      <c r="G1073" s="1">
        <v>0.5</v>
      </c>
      <c r="H1073" s="3">
        <f t="shared" si="26"/>
        <v>149000</v>
      </c>
    </row>
    <row r="1074" spans="1:8" x14ac:dyDescent="0.35">
      <c r="A1074">
        <v>200587001</v>
      </c>
      <c r="B1074" t="s">
        <v>1333</v>
      </c>
      <c r="C1074" t="s">
        <v>368</v>
      </c>
      <c r="D1074" t="s">
        <v>1322</v>
      </c>
      <c r="E1074" t="s">
        <v>14</v>
      </c>
      <c r="F1074" s="3">
        <v>54000</v>
      </c>
      <c r="G1074" s="1">
        <v>0.2</v>
      </c>
      <c r="H1074" s="3">
        <f t="shared" si="26"/>
        <v>43200</v>
      </c>
    </row>
    <row r="1075" spans="1:8" x14ac:dyDescent="0.35">
      <c r="A1075">
        <v>200658001</v>
      </c>
      <c r="B1075" t="s">
        <v>1334</v>
      </c>
      <c r="C1075" t="s">
        <v>368</v>
      </c>
      <c r="D1075" t="s">
        <v>1322</v>
      </c>
      <c r="E1075" t="s">
        <v>14</v>
      </c>
      <c r="F1075" s="3">
        <v>59000</v>
      </c>
      <c r="G1075" s="3">
        <v>49000</v>
      </c>
      <c r="H1075" s="4">
        <f>G1075</f>
        <v>49000</v>
      </c>
    </row>
    <row r="1076" spans="1:8" x14ac:dyDescent="0.35">
      <c r="A1076">
        <v>500854001</v>
      </c>
      <c r="B1076" t="s">
        <v>1335</v>
      </c>
      <c r="C1076" t="s">
        <v>368</v>
      </c>
      <c r="D1076" t="s">
        <v>1322</v>
      </c>
      <c r="E1076" t="s">
        <v>14</v>
      </c>
      <c r="F1076" s="3">
        <v>34000</v>
      </c>
      <c r="G1076" s="3">
        <v>24000</v>
      </c>
      <c r="H1076" s="4">
        <f>G1076</f>
        <v>24000</v>
      </c>
    </row>
    <row r="1077" spans="1:8" x14ac:dyDescent="0.35">
      <c r="A1077">
        <v>500855001</v>
      </c>
      <c r="B1077" t="s">
        <v>1336</v>
      </c>
      <c r="C1077" t="s">
        <v>368</v>
      </c>
      <c r="D1077" t="s">
        <v>1322</v>
      </c>
      <c r="E1077" t="s">
        <v>14</v>
      </c>
      <c r="F1077" s="3">
        <v>34000</v>
      </c>
      <c r="G1077" s="3">
        <v>24000</v>
      </c>
      <c r="H1077" s="4">
        <f>G1077</f>
        <v>24000</v>
      </c>
    </row>
    <row r="1078" spans="1:8" x14ac:dyDescent="0.35">
      <c r="A1078">
        <v>706981001</v>
      </c>
      <c r="B1078" t="s">
        <v>1337</v>
      </c>
      <c r="C1078" t="s">
        <v>368</v>
      </c>
      <c r="D1078" t="s">
        <v>1322</v>
      </c>
      <c r="E1078" t="s">
        <v>14</v>
      </c>
      <c r="F1078" s="3">
        <v>89000</v>
      </c>
      <c r="G1078" s="3">
        <v>49000</v>
      </c>
      <c r="H1078" s="4">
        <f>G1078</f>
        <v>49000</v>
      </c>
    </row>
    <row r="1079" spans="1:8" x14ac:dyDescent="0.35">
      <c r="A1079">
        <v>709821001</v>
      </c>
      <c r="B1079" t="s">
        <v>1338</v>
      </c>
      <c r="C1079" t="s">
        <v>368</v>
      </c>
      <c r="D1079" t="s">
        <v>1322</v>
      </c>
      <c r="E1079" t="s">
        <v>14</v>
      </c>
      <c r="F1079" s="3">
        <v>148000</v>
      </c>
      <c r="G1079" s="1">
        <v>0.2</v>
      </c>
      <c r="H1079" s="3">
        <f t="shared" ref="H1079:H1093" si="27">F1079*(1-G1079)</f>
        <v>118400</v>
      </c>
    </row>
    <row r="1080" spans="1:8" x14ac:dyDescent="0.35">
      <c r="A1080">
        <v>709821002</v>
      </c>
      <c r="B1080" t="s">
        <v>1339</v>
      </c>
      <c r="C1080" t="s">
        <v>368</v>
      </c>
      <c r="D1080" t="s">
        <v>1322</v>
      </c>
      <c r="E1080" t="s">
        <v>14</v>
      </c>
      <c r="F1080" s="3">
        <v>148000</v>
      </c>
      <c r="G1080" s="1">
        <v>0.2</v>
      </c>
      <c r="H1080" s="3">
        <f t="shared" si="27"/>
        <v>118400</v>
      </c>
    </row>
    <row r="1081" spans="1:8" x14ac:dyDescent="0.35">
      <c r="A1081">
        <v>731932</v>
      </c>
      <c r="B1081" t="s">
        <v>498</v>
      </c>
      <c r="C1081" t="s">
        <v>391</v>
      </c>
      <c r="D1081" t="s">
        <v>355</v>
      </c>
      <c r="E1081" t="s">
        <v>14</v>
      </c>
      <c r="F1081" s="3">
        <v>148000</v>
      </c>
      <c r="G1081" s="1">
        <v>0.2</v>
      </c>
      <c r="H1081" s="3">
        <f t="shared" si="27"/>
        <v>118400</v>
      </c>
    </row>
    <row r="1082" spans="1:8" x14ac:dyDescent="0.35">
      <c r="A1082">
        <v>733109</v>
      </c>
      <c r="B1082" t="s">
        <v>1340</v>
      </c>
      <c r="C1082" t="s">
        <v>391</v>
      </c>
      <c r="D1082" t="s">
        <v>355</v>
      </c>
      <c r="E1082" t="s">
        <v>14</v>
      </c>
      <c r="F1082" s="3">
        <v>148000</v>
      </c>
      <c r="G1082" s="1">
        <v>0.5</v>
      </c>
      <c r="H1082" s="3">
        <f t="shared" si="27"/>
        <v>74000</v>
      </c>
    </row>
    <row r="1083" spans="1:8" x14ac:dyDescent="0.35">
      <c r="A1083">
        <v>202297</v>
      </c>
      <c r="B1083" t="s">
        <v>1341</v>
      </c>
      <c r="C1083" t="s">
        <v>354</v>
      </c>
      <c r="D1083" t="s">
        <v>355</v>
      </c>
      <c r="E1083" t="s">
        <v>14</v>
      </c>
      <c r="F1083" s="3">
        <v>398000</v>
      </c>
      <c r="G1083" s="1">
        <v>0.7</v>
      </c>
      <c r="H1083" s="3">
        <f t="shared" si="27"/>
        <v>119400.00000000001</v>
      </c>
    </row>
    <row r="1084" spans="1:8" x14ac:dyDescent="0.35">
      <c r="A1084">
        <v>726471</v>
      </c>
      <c r="B1084" t="s">
        <v>1342</v>
      </c>
      <c r="C1084" t="s">
        <v>354</v>
      </c>
      <c r="D1084" t="s">
        <v>355</v>
      </c>
      <c r="E1084" t="s">
        <v>14</v>
      </c>
      <c r="F1084" s="3">
        <v>698000</v>
      </c>
      <c r="G1084" s="1">
        <v>0.7</v>
      </c>
      <c r="H1084" s="3">
        <f t="shared" si="27"/>
        <v>209400.00000000003</v>
      </c>
    </row>
    <row r="1085" spans="1:8" x14ac:dyDescent="0.35">
      <c r="A1085">
        <v>726672</v>
      </c>
      <c r="B1085" t="s">
        <v>1343</v>
      </c>
      <c r="C1085" t="s">
        <v>354</v>
      </c>
      <c r="D1085" t="s">
        <v>355</v>
      </c>
      <c r="E1085" t="s">
        <v>14</v>
      </c>
      <c r="F1085" s="3">
        <v>1048000</v>
      </c>
      <c r="G1085" s="1">
        <v>0.7</v>
      </c>
      <c r="H1085" s="3">
        <f t="shared" si="27"/>
        <v>314400.00000000006</v>
      </c>
    </row>
    <row r="1086" spans="1:8" x14ac:dyDescent="0.35">
      <c r="A1086">
        <v>726673</v>
      </c>
      <c r="B1086" t="s">
        <v>1344</v>
      </c>
      <c r="C1086" t="s">
        <v>354</v>
      </c>
      <c r="D1086" t="s">
        <v>355</v>
      </c>
      <c r="E1086" t="s">
        <v>14</v>
      </c>
      <c r="F1086" s="3">
        <v>898000</v>
      </c>
      <c r="G1086" s="1">
        <v>0.7</v>
      </c>
      <c r="H1086" s="3">
        <f t="shared" si="27"/>
        <v>269400.00000000006</v>
      </c>
    </row>
    <row r="1087" spans="1:8" x14ac:dyDescent="0.35">
      <c r="A1087">
        <v>727535</v>
      </c>
      <c r="B1087" t="s">
        <v>1345</v>
      </c>
      <c r="C1087" t="s">
        <v>354</v>
      </c>
      <c r="D1087" t="s">
        <v>355</v>
      </c>
      <c r="E1087" t="s">
        <v>14</v>
      </c>
      <c r="F1087" s="3">
        <v>1048000</v>
      </c>
      <c r="G1087" s="1">
        <v>0.7</v>
      </c>
      <c r="H1087" s="3">
        <f t="shared" si="27"/>
        <v>314400.00000000006</v>
      </c>
    </row>
    <row r="1088" spans="1:8" x14ac:dyDescent="0.35">
      <c r="A1088">
        <v>727536</v>
      </c>
      <c r="B1088" t="s">
        <v>1346</v>
      </c>
      <c r="C1088" t="s">
        <v>354</v>
      </c>
      <c r="D1088" t="s">
        <v>355</v>
      </c>
      <c r="E1088" t="s">
        <v>14</v>
      </c>
      <c r="F1088" s="3">
        <v>1048000</v>
      </c>
      <c r="G1088" s="1">
        <v>0.7</v>
      </c>
      <c r="H1088" s="3">
        <f t="shared" si="27"/>
        <v>314400.00000000006</v>
      </c>
    </row>
    <row r="1089" spans="1:8" x14ac:dyDescent="0.35">
      <c r="A1089">
        <v>729897</v>
      </c>
      <c r="B1089" t="s">
        <v>1347</v>
      </c>
      <c r="C1089" t="s">
        <v>491</v>
      </c>
      <c r="D1089" t="s">
        <v>355</v>
      </c>
      <c r="E1089" t="s">
        <v>14</v>
      </c>
      <c r="F1089" s="3">
        <v>698000</v>
      </c>
      <c r="G1089" s="1">
        <v>0.5</v>
      </c>
      <c r="H1089" s="3">
        <f t="shared" si="27"/>
        <v>349000</v>
      </c>
    </row>
    <row r="1090" spans="1:8" x14ac:dyDescent="0.35">
      <c r="A1090">
        <v>729898</v>
      </c>
      <c r="B1090" t="s">
        <v>1348</v>
      </c>
      <c r="C1090" t="s">
        <v>491</v>
      </c>
      <c r="D1090" t="s">
        <v>355</v>
      </c>
      <c r="E1090" t="s">
        <v>14</v>
      </c>
      <c r="F1090" s="3">
        <v>698000</v>
      </c>
      <c r="G1090" s="1">
        <v>0.5</v>
      </c>
      <c r="H1090" s="3">
        <f t="shared" si="27"/>
        <v>349000</v>
      </c>
    </row>
    <row r="1091" spans="1:8" x14ac:dyDescent="0.35">
      <c r="A1091">
        <v>729899</v>
      </c>
      <c r="B1091" t="s">
        <v>1349</v>
      </c>
      <c r="C1091" t="s">
        <v>491</v>
      </c>
      <c r="D1091" t="s">
        <v>355</v>
      </c>
      <c r="E1091" t="s">
        <v>14</v>
      </c>
      <c r="F1091" s="3">
        <v>698000</v>
      </c>
      <c r="G1091" s="1">
        <v>0.5</v>
      </c>
      <c r="H1091" s="3">
        <f t="shared" si="27"/>
        <v>349000</v>
      </c>
    </row>
    <row r="1092" spans="1:8" x14ac:dyDescent="0.35">
      <c r="A1092">
        <v>735099</v>
      </c>
      <c r="B1092" t="s">
        <v>1350</v>
      </c>
      <c r="C1092" t="s">
        <v>428</v>
      </c>
      <c r="D1092" t="s">
        <v>1351</v>
      </c>
      <c r="E1092" t="s">
        <v>14</v>
      </c>
      <c r="F1092" s="3">
        <v>298000</v>
      </c>
      <c r="G1092" s="1">
        <v>0.5</v>
      </c>
      <c r="H1092" s="3">
        <f t="shared" si="27"/>
        <v>149000</v>
      </c>
    </row>
    <row r="1093" spans="1:8" x14ac:dyDescent="0.35">
      <c r="A1093">
        <v>737424</v>
      </c>
      <c r="B1093" t="s">
        <v>1352</v>
      </c>
      <c r="C1093" t="s">
        <v>428</v>
      </c>
      <c r="D1093" t="s">
        <v>1351</v>
      </c>
      <c r="E1093" t="s">
        <v>14</v>
      </c>
      <c r="F1093" s="3">
        <v>64000</v>
      </c>
      <c r="G1093" s="1">
        <v>0.5</v>
      </c>
      <c r="H1093" s="3">
        <f t="shared" si="27"/>
        <v>32000</v>
      </c>
    </row>
    <row r="1094" spans="1:8" x14ac:dyDescent="0.35">
      <c r="A1094">
        <v>703707</v>
      </c>
      <c r="B1094" t="s">
        <v>1353</v>
      </c>
      <c r="C1094" t="s">
        <v>368</v>
      </c>
      <c r="D1094" t="s">
        <v>1351</v>
      </c>
      <c r="E1094" t="s">
        <v>14</v>
      </c>
      <c r="F1094" s="3">
        <v>74000</v>
      </c>
      <c r="G1094" s="3">
        <v>35000</v>
      </c>
      <c r="H1094" s="4">
        <f>G1094</f>
        <v>35000</v>
      </c>
    </row>
    <row r="1095" spans="1:8" x14ac:dyDescent="0.35">
      <c r="A1095">
        <v>724157</v>
      </c>
      <c r="B1095" t="s">
        <v>1354</v>
      </c>
      <c r="C1095" t="s">
        <v>368</v>
      </c>
      <c r="D1095" t="s">
        <v>1351</v>
      </c>
      <c r="E1095" t="s">
        <v>14</v>
      </c>
      <c r="F1095" s="3">
        <v>99000</v>
      </c>
      <c r="G1095" s="1">
        <v>0.2</v>
      </c>
      <c r="H1095" s="3">
        <f>F1095*(1-G1095)</f>
        <v>79200</v>
      </c>
    </row>
    <row r="1096" spans="1:8" x14ac:dyDescent="0.35">
      <c r="A1096">
        <v>725103</v>
      </c>
      <c r="B1096" t="s">
        <v>1355</v>
      </c>
      <c r="C1096" t="s">
        <v>368</v>
      </c>
      <c r="D1096" t="s">
        <v>1351</v>
      </c>
      <c r="E1096" t="s">
        <v>14</v>
      </c>
      <c r="F1096" s="3">
        <v>89000</v>
      </c>
      <c r="G1096" s="3">
        <v>50000</v>
      </c>
      <c r="H1096" s="4">
        <f>G1096</f>
        <v>50000</v>
      </c>
    </row>
    <row r="1097" spans="1:8" x14ac:dyDescent="0.35">
      <c r="A1097">
        <v>731735</v>
      </c>
      <c r="B1097" t="s">
        <v>1356</v>
      </c>
      <c r="C1097" t="s">
        <v>368</v>
      </c>
      <c r="D1097" t="s">
        <v>1351</v>
      </c>
      <c r="E1097" t="s">
        <v>14</v>
      </c>
      <c r="F1097" s="3">
        <v>74000</v>
      </c>
      <c r="G1097" s="3">
        <v>35000</v>
      </c>
      <c r="H1097" s="4">
        <f>G1097</f>
        <v>35000</v>
      </c>
    </row>
    <row r="1098" spans="1:8" x14ac:dyDescent="0.35">
      <c r="A1098">
        <v>724944</v>
      </c>
      <c r="B1098" t="s">
        <v>427</v>
      </c>
      <c r="C1098" t="s">
        <v>428</v>
      </c>
      <c r="D1098" t="s">
        <v>429</v>
      </c>
      <c r="E1098" t="s">
        <v>14</v>
      </c>
      <c r="F1098" s="3">
        <v>3798000</v>
      </c>
      <c r="G1098" s="1">
        <v>0.2</v>
      </c>
      <c r="H1098" s="3">
        <f t="shared" ref="H1098:H1118" si="28">F1098*(1-G1098)</f>
        <v>3038400</v>
      </c>
    </row>
    <row r="1099" spans="1:8" x14ac:dyDescent="0.35">
      <c r="A1099">
        <v>727026</v>
      </c>
      <c r="B1099" t="s">
        <v>1357</v>
      </c>
      <c r="C1099" t="s">
        <v>428</v>
      </c>
      <c r="D1099" t="s">
        <v>429</v>
      </c>
      <c r="E1099" t="s">
        <v>14</v>
      </c>
      <c r="F1099" s="3">
        <v>6498000</v>
      </c>
      <c r="G1099" s="1">
        <v>0.7</v>
      </c>
      <c r="H1099" s="3">
        <f t="shared" si="28"/>
        <v>1949400.0000000002</v>
      </c>
    </row>
    <row r="1100" spans="1:8" x14ac:dyDescent="0.35">
      <c r="A1100">
        <v>727028</v>
      </c>
      <c r="B1100" t="s">
        <v>1358</v>
      </c>
      <c r="C1100" t="s">
        <v>428</v>
      </c>
      <c r="D1100" t="s">
        <v>429</v>
      </c>
      <c r="E1100" t="s">
        <v>14</v>
      </c>
      <c r="F1100" s="3">
        <v>8498000</v>
      </c>
      <c r="G1100" s="1">
        <v>0.5</v>
      </c>
      <c r="H1100" s="3">
        <f t="shared" si="28"/>
        <v>4249000</v>
      </c>
    </row>
    <row r="1101" spans="1:8" x14ac:dyDescent="0.35">
      <c r="A1101">
        <v>731516</v>
      </c>
      <c r="B1101" t="s">
        <v>1359</v>
      </c>
      <c r="C1101" t="s">
        <v>428</v>
      </c>
      <c r="D1101" t="s">
        <v>429</v>
      </c>
      <c r="E1101" t="s">
        <v>14</v>
      </c>
      <c r="F1101" s="3">
        <v>4998000</v>
      </c>
      <c r="G1101" s="1">
        <v>0.5</v>
      </c>
      <c r="H1101" s="3">
        <f t="shared" si="28"/>
        <v>2499000</v>
      </c>
    </row>
    <row r="1102" spans="1:8" x14ac:dyDescent="0.35">
      <c r="A1102">
        <v>730077001</v>
      </c>
      <c r="B1102" t="s">
        <v>1360</v>
      </c>
      <c r="C1102" t="s">
        <v>565</v>
      </c>
      <c r="D1102" t="s">
        <v>1361</v>
      </c>
      <c r="E1102" t="s">
        <v>14</v>
      </c>
      <c r="F1102" s="3">
        <v>2298000</v>
      </c>
      <c r="G1102" s="1">
        <v>0.5</v>
      </c>
      <c r="H1102" s="3">
        <f t="shared" si="28"/>
        <v>1149000</v>
      </c>
    </row>
    <row r="1103" spans="1:8" x14ac:dyDescent="0.35">
      <c r="A1103">
        <v>730078001</v>
      </c>
      <c r="B1103" t="s">
        <v>1362</v>
      </c>
      <c r="C1103" t="s">
        <v>565</v>
      </c>
      <c r="D1103" t="s">
        <v>1361</v>
      </c>
      <c r="E1103" t="s">
        <v>14</v>
      </c>
      <c r="F1103" s="3">
        <v>2298000</v>
      </c>
      <c r="G1103" s="1">
        <v>0.5</v>
      </c>
      <c r="H1103" s="3">
        <f t="shared" si="28"/>
        <v>1149000</v>
      </c>
    </row>
    <row r="1104" spans="1:8" x14ac:dyDescent="0.35">
      <c r="A1104">
        <v>703317</v>
      </c>
      <c r="B1104" t="s">
        <v>1363</v>
      </c>
      <c r="C1104" t="s">
        <v>92</v>
      </c>
      <c r="D1104" t="s">
        <v>351</v>
      </c>
      <c r="E1104" t="s">
        <v>14</v>
      </c>
      <c r="F1104" s="3">
        <v>3398000</v>
      </c>
      <c r="G1104" s="1">
        <v>0.7</v>
      </c>
      <c r="H1104" s="3">
        <f t="shared" si="28"/>
        <v>1019400.0000000001</v>
      </c>
    </row>
    <row r="1105" spans="1:8" x14ac:dyDescent="0.35">
      <c r="A1105">
        <v>703318</v>
      </c>
      <c r="B1105" t="s">
        <v>1364</v>
      </c>
      <c r="C1105" t="s">
        <v>92</v>
      </c>
      <c r="D1105" t="s">
        <v>351</v>
      </c>
      <c r="E1105" t="s">
        <v>14</v>
      </c>
      <c r="F1105" s="3">
        <v>3398000</v>
      </c>
      <c r="G1105" s="1">
        <v>0.7</v>
      </c>
      <c r="H1105" s="3">
        <f t="shared" si="28"/>
        <v>1019400.0000000001</v>
      </c>
    </row>
    <row r="1106" spans="1:8" x14ac:dyDescent="0.35">
      <c r="A1106">
        <v>708283</v>
      </c>
      <c r="B1106" t="s">
        <v>1365</v>
      </c>
      <c r="C1106" t="s">
        <v>92</v>
      </c>
      <c r="D1106" t="s">
        <v>351</v>
      </c>
      <c r="E1106" t="s">
        <v>14</v>
      </c>
      <c r="F1106" s="3">
        <v>2098000</v>
      </c>
      <c r="G1106" s="1">
        <v>0.7</v>
      </c>
      <c r="H1106" s="3">
        <f t="shared" si="28"/>
        <v>629400.00000000012</v>
      </c>
    </row>
    <row r="1107" spans="1:8" x14ac:dyDescent="0.35">
      <c r="A1107">
        <v>710365</v>
      </c>
      <c r="B1107" t="s">
        <v>1366</v>
      </c>
      <c r="C1107" t="s">
        <v>92</v>
      </c>
      <c r="D1107" t="s">
        <v>351</v>
      </c>
      <c r="E1107" t="s">
        <v>14</v>
      </c>
      <c r="F1107" s="3">
        <v>2798000</v>
      </c>
      <c r="G1107" s="1">
        <v>0.7</v>
      </c>
      <c r="H1107" s="3">
        <f t="shared" si="28"/>
        <v>839400.00000000012</v>
      </c>
    </row>
    <row r="1108" spans="1:8" x14ac:dyDescent="0.35">
      <c r="A1108">
        <v>710366</v>
      </c>
      <c r="B1108" t="s">
        <v>1367</v>
      </c>
      <c r="C1108" t="s">
        <v>92</v>
      </c>
      <c r="D1108" t="s">
        <v>351</v>
      </c>
      <c r="E1108" t="s">
        <v>14</v>
      </c>
      <c r="F1108" s="3">
        <v>2798000</v>
      </c>
      <c r="G1108" s="1">
        <v>0.7</v>
      </c>
      <c r="H1108" s="3">
        <f t="shared" si="28"/>
        <v>839400.00000000012</v>
      </c>
    </row>
    <row r="1109" spans="1:8" x14ac:dyDescent="0.35">
      <c r="A1109">
        <v>710877</v>
      </c>
      <c r="B1109" t="s">
        <v>1368</v>
      </c>
      <c r="C1109" t="s">
        <v>92</v>
      </c>
      <c r="D1109" t="s">
        <v>351</v>
      </c>
      <c r="E1109" t="s">
        <v>14</v>
      </c>
      <c r="F1109" s="3">
        <v>2648000</v>
      </c>
      <c r="G1109" s="1">
        <v>0.7</v>
      </c>
      <c r="H1109" s="3">
        <f t="shared" si="28"/>
        <v>794400.00000000012</v>
      </c>
    </row>
    <row r="1110" spans="1:8" x14ac:dyDescent="0.35">
      <c r="A1110">
        <v>716912</v>
      </c>
      <c r="B1110" t="s">
        <v>1369</v>
      </c>
      <c r="C1110" t="s">
        <v>92</v>
      </c>
      <c r="D1110" t="s">
        <v>351</v>
      </c>
      <c r="E1110" t="s">
        <v>14</v>
      </c>
      <c r="F1110" s="3">
        <v>19980000</v>
      </c>
      <c r="G1110" s="1">
        <v>0.7</v>
      </c>
      <c r="H1110" s="3">
        <f t="shared" si="28"/>
        <v>5994000.0000000009</v>
      </c>
    </row>
    <row r="1111" spans="1:8" x14ac:dyDescent="0.35">
      <c r="A1111">
        <v>725710</v>
      </c>
      <c r="B1111" t="s">
        <v>1370</v>
      </c>
      <c r="C1111" t="s">
        <v>92</v>
      </c>
      <c r="D1111" t="s">
        <v>351</v>
      </c>
      <c r="E1111" t="s">
        <v>14</v>
      </c>
      <c r="F1111" s="3">
        <v>25480000</v>
      </c>
      <c r="G1111" s="1">
        <v>0.5</v>
      </c>
      <c r="H1111" s="3">
        <f t="shared" si="28"/>
        <v>12740000</v>
      </c>
    </row>
    <row r="1112" spans="1:8" x14ac:dyDescent="0.35">
      <c r="A1112">
        <v>731075</v>
      </c>
      <c r="B1112" t="s">
        <v>352</v>
      </c>
      <c r="C1112" t="s">
        <v>92</v>
      </c>
      <c r="D1112" t="s">
        <v>351</v>
      </c>
      <c r="F1112" s="3">
        <v>2348000</v>
      </c>
      <c r="G1112" s="1">
        <v>0.2</v>
      </c>
      <c r="H1112" s="3">
        <f t="shared" si="28"/>
        <v>1878400</v>
      </c>
    </row>
    <row r="1113" spans="1:8" x14ac:dyDescent="0.35">
      <c r="A1113">
        <v>733909</v>
      </c>
      <c r="B1113" t="s">
        <v>1371</v>
      </c>
      <c r="C1113" t="s">
        <v>92</v>
      </c>
      <c r="D1113" t="s">
        <v>351</v>
      </c>
      <c r="F1113" s="3">
        <v>19480000</v>
      </c>
      <c r="G1113" s="1">
        <v>0.2</v>
      </c>
      <c r="H1113" s="3">
        <f t="shared" si="28"/>
        <v>15584000</v>
      </c>
    </row>
    <row r="1114" spans="1:8" x14ac:dyDescent="0.35">
      <c r="A1114">
        <v>733910</v>
      </c>
      <c r="B1114" t="s">
        <v>1372</v>
      </c>
      <c r="C1114" t="s">
        <v>92</v>
      </c>
      <c r="D1114" t="s">
        <v>351</v>
      </c>
      <c r="F1114" s="3">
        <v>19480000</v>
      </c>
      <c r="G1114" s="1">
        <v>0.2</v>
      </c>
      <c r="H1114" s="3">
        <f t="shared" si="28"/>
        <v>15584000</v>
      </c>
    </row>
    <row r="1115" spans="1:8" x14ac:dyDescent="0.35">
      <c r="A1115">
        <v>734059</v>
      </c>
      <c r="B1115" t="s">
        <v>1373</v>
      </c>
      <c r="C1115" t="s">
        <v>92</v>
      </c>
      <c r="D1115" t="s">
        <v>351</v>
      </c>
      <c r="F1115" s="3">
        <v>19480000</v>
      </c>
      <c r="G1115" s="1">
        <v>0.2</v>
      </c>
      <c r="H1115" s="3">
        <f t="shared" si="28"/>
        <v>15584000</v>
      </c>
    </row>
    <row r="1116" spans="1:8" x14ac:dyDescent="0.35">
      <c r="A1116">
        <v>736072</v>
      </c>
      <c r="B1116" t="s">
        <v>1374</v>
      </c>
      <c r="C1116" t="s">
        <v>92</v>
      </c>
      <c r="D1116" t="s">
        <v>351</v>
      </c>
      <c r="F1116" s="3">
        <v>14980000</v>
      </c>
      <c r="G1116" s="1">
        <v>0.2</v>
      </c>
      <c r="H1116" s="3">
        <f t="shared" si="28"/>
        <v>11984000</v>
      </c>
    </row>
    <row r="1117" spans="1:8" x14ac:dyDescent="0.35">
      <c r="A1117">
        <v>733429</v>
      </c>
      <c r="B1117" t="s">
        <v>1375</v>
      </c>
      <c r="C1117" t="s">
        <v>555</v>
      </c>
      <c r="D1117" t="s">
        <v>351</v>
      </c>
      <c r="E1117" t="s">
        <v>14</v>
      </c>
      <c r="F1117" s="3">
        <v>9998000</v>
      </c>
      <c r="G1117" s="1">
        <v>0.2</v>
      </c>
      <c r="H1117" s="3">
        <f t="shared" si="28"/>
        <v>7998400</v>
      </c>
    </row>
    <row r="1118" spans="1:8" x14ac:dyDescent="0.35">
      <c r="A1118">
        <v>717389</v>
      </c>
      <c r="B1118" t="s">
        <v>1376</v>
      </c>
      <c r="C1118" t="s">
        <v>555</v>
      </c>
      <c r="D1118" t="s">
        <v>1377</v>
      </c>
      <c r="E1118" t="s">
        <v>14</v>
      </c>
      <c r="F1118" s="3">
        <v>0</v>
      </c>
      <c r="G1118" s="1">
        <v>0.7</v>
      </c>
      <c r="H1118" s="3">
        <f t="shared" si="28"/>
        <v>0</v>
      </c>
    </row>
  </sheetData>
  <autoFilter ref="A1:H1118" xr:uid="{6A311178-6E56-42E3-A7FC-B9568015E1D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EC72-2AC2-4267-B94E-BD113ACB1B7D}">
  <dimension ref="A1:E147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81640625" bestFit="1" customWidth="1"/>
    <col min="2" max="2" width="23.81640625" bestFit="1" customWidth="1"/>
    <col min="3" max="3" width="12" style="3" bestFit="1" customWidth="1"/>
    <col min="4" max="4" width="8.1796875" style="1" bestFit="1" customWidth="1"/>
    <col min="5" max="5" width="12.7265625" style="3" bestFit="1" customWidth="1"/>
  </cols>
  <sheetData>
    <row r="1" spans="1:5" x14ac:dyDescent="0.35">
      <c r="A1" s="2" t="s">
        <v>548</v>
      </c>
      <c r="B1" s="2" t="s">
        <v>1401</v>
      </c>
      <c r="C1" s="20" t="s">
        <v>552</v>
      </c>
      <c r="D1" s="21" t="s">
        <v>1402</v>
      </c>
      <c r="E1" s="20" t="s">
        <v>1403</v>
      </c>
    </row>
    <row r="2" spans="1:5" x14ac:dyDescent="0.35">
      <c r="A2">
        <v>502891002</v>
      </c>
      <c r="B2" t="s">
        <v>1404</v>
      </c>
      <c r="C2" s="3">
        <v>2800000</v>
      </c>
      <c r="D2" s="1">
        <v>0.1</v>
      </c>
      <c r="E2" s="3">
        <v>2520000</v>
      </c>
    </row>
    <row r="3" spans="1:5" x14ac:dyDescent="0.35">
      <c r="A3">
        <v>502891003</v>
      </c>
      <c r="B3" t="s">
        <v>1405</v>
      </c>
      <c r="C3" s="3">
        <v>2800000</v>
      </c>
      <c r="D3" s="1">
        <v>0.1</v>
      </c>
      <c r="E3" s="3">
        <v>2520000</v>
      </c>
    </row>
    <row r="4" spans="1:5" x14ac:dyDescent="0.35">
      <c r="A4">
        <v>502891001</v>
      </c>
      <c r="B4" t="s">
        <v>1406</v>
      </c>
      <c r="C4" s="3">
        <v>2800000</v>
      </c>
      <c r="D4" s="1">
        <v>0.1</v>
      </c>
      <c r="E4" s="3">
        <v>2520000</v>
      </c>
    </row>
    <row r="5" spans="1:5" x14ac:dyDescent="0.35">
      <c r="A5">
        <v>502874001</v>
      </c>
      <c r="B5" t="s">
        <v>1407</v>
      </c>
      <c r="C5" s="3">
        <v>3150000</v>
      </c>
      <c r="D5" s="1">
        <v>0.1</v>
      </c>
      <c r="E5" s="3">
        <v>2835000</v>
      </c>
    </row>
    <row r="6" spans="1:5" x14ac:dyDescent="0.35">
      <c r="A6">
        <v>502874005</v>
      </c>
      <c r="B6" t="s">
        <v>1408</v>
      </c>
      <c r="C6" s="3">
        <v>3150000</v>
      </c>
      <c r="D6" s="1">
        <v>0.1</v>
      </c>
      <c r="E6" s="3">
        <v>2835000</v>
      </c>
    </row>
    <row r="7" spans="1:5" x14ac:dyDescent="0.35">
      <c r="A7">
        <v>502874004</v>
      </c>
      <c r="B7" t="s">
        <v>1409</v>
      </c>
      <c r="C7" s="3">
        <v>3150000</v>
      </c>
      <c r="D7" s="1">
        <v>0.1</v>
      </c>
      <c r="E7" s="3">
        <v>2835000</v>
      </c>
    </row>
    <row r="8" spans="1:5" x14ac:dyDescent="0.35">
      <c r="A8">
        <v>502854002</v>
      </c>
      <c r="B8" t="s">
        <v>1410</v>
      </c>
      <c r="C8" s="3">
        <v>3550000</v>
      </c>
      <c r="D8" s="1">
        <v>0.1</v>
      </c>
      <c r="E8" s="3">
        <v>3195000</v>
      </c>
    </row>
    <row r="9" spans="1:5" x14ac:dyDescent="0.35">
      <c r="A9">
        <v>502854001</v>
      </c>
      <c r="B9" t="s">
        <v>1411</v>
      </c>
      <c r="C9" s="3">
        <v>3550000</v>
      </c>
      <c r="D9" s="1">
        <v>0.1</v>
      </c>
      <c r="E9" s="3">
        <v>3195000</v>
      </c>
    </row>
    <row r="10" spans="1:5" x14ac:dyDescent="0.35">
      <c r="A10">
        <v>502793003</v>
      </c>
      <c r="B10" t="s">
        <v>1412</v>
      </c>
      <c r="C10" s="3">
        <v>4300000</v>
      </c>
      <c r="D10" s="1">
        <v>0.1</v>
      </c>
      <c r="E10" s="3">
        <v>3870000</v>
      </c>
    </row>
    <row r="11" spans="1:5" x14ac:dyDescent="0.35">
      <c r="A11">
        <v>502793002</v>
      </c>
      <c r="B11" t="s">
        <v>1413</v>
      </c>
      <c r="C11" s="3">
        <v>4300000</v>
      </c>
      <c r="D11" s="1">
        <v>0.1</v>
      </c>
      <c r="E11" s="3">
        <v>3870000</v>
      </c>
    </row>
    <row r="12" spans="1:5" x14ac:dyDescent="0.35">
      <c r="A12">
        <v>502793001</v>
      </c>
      <c r="B12" t="s">
        <v>1414</v>
      </c>
      <c r="C12" s="3">
        <v>4300000</v>
      </c>
      <c r="D12" s="1">
        <v>0.1</v>
      </c>
      <c r="E12" s="3">
        <v>3870000</v>
      </c>
    </row>
    <row r="13" spans="1:5" x14ac:dyDescent="0.35">
      <c r="A13">
        <v>502875002</v>
      </c>
      <c r="B13" t="s">
        <v>1415</v>
      </c>
      <c r="C13" s="3">
        <v>4300000</v>
      </c>
      <c r="D13" s="1">
        <v>0.1</v>
      </c>
      <c r="E13" s="3">
        <v>3870000</v>
      </c>
    </row>
    <row r="14" spans="1:5" x14ac:dyDescent="0.35">
      <c r="A14">
        <v>502875001</v>
      </c>
      <c r="B14" t="s">
        <v>1416</v>
      </c>
      <c r="C14" s="3">
        <v>4300000</v>
      </c>
      <c r="D14" s="1">
        <v>0.1</v>
      </c>
      <c r="E14" s="3">
        <v>3870000</v>
      </c>
    </row>
    <row r="15" spans="1:5" x14ac:dyDescent="0.35">
      <c r="A15">
        <v>502792003</v>
      </c>
      <c r="B15" t="s">
        <v>1417</v>
      </c>
      <c r="C15" s="3">
        <v>4950000</v>
      </c>
      <c r="D15" s="1">
        <v>0.1</v>
      </c>
      <c r="E15" s="3">
        <v>4455000</v>
      </c>
    </row>
    <row r="16" spans="1:5" x14ac:dyDescent="0.35">
      <c r="A16">
        <v>502792002</v>
      </c>
      <c r="B16" t="s">
        <v>1418</v>
      </c>
      <c r="C16" s="3">
        <v>4950000</v>
      </c>
      <c r="D16" s="1">
        <v>0.1</v>
      </c>
      <c r="E16" s="3">
        <v>4455000</v>
      </c>
    </row>
    <row r="17" spans="1:5" x14ac:dyDescent="0.35">
      <c r="A17">
        <v>502792001</v>
      </c>
      <c r="B17" t="s">
        <v>1419</v>
      </c>
      <c r="C17" s="3">
        <v>4950000</v>
      </c>
      <c r="D17" s="1">
        <v>0.1</v>
      </c>
      <c r="E17" s="3">
        <v>4455000</v>
      </c>
    </row>
    <row r="18" spans="1:5" x14ac:dyDescent="0.35">
      <c r="A18">
        <v>502876002</v>
      </c>
      <c r="B18" t="s">
        <v>1420</v>
      </c>
      <c r="C18" s="3">
        <v>4950000</v>
      </c>
      <c r="D18" s="1">
        <v>0.1</v>
      </c>
      <c r="E18" s="3">
        <v>4455000</v>
      </c>
    </row>
    <row r="19" spans="1:5" x14ac:dyDescent="0.35">
      <c r="A19">
        <v>502876003</v>
      </c>
      <c r="B19" t="s">
        <v>1421</v>
      </c>
      <c r="C19" s="3">
        <v>4950000</v>
      </c>
      <c r="D19" s="1">
        <v>0.1</v>
      </c>
      <c r="E19" s="3">
        <v>4455000</v>
      </c>
    </row>
    <row r="20" spans="1:5" x14ac:dyDescent="0.35">
      <c r="A20">
        <v>502876001</v>
      </c>
      <c r="B20" t="s">
        <v>1422</v>
      </c>
      <c r="C20" s="3">
        <v>4950000</v>
      </c>
      <c r="D20" s="1">
        <v>0.1</v>
      </c>
      <c r="E20" s="3">
        <v>4455000</v>
      </c>
    </row>
    <row r="21" spans="1:5" x14ac:dyDescent="0.35">
      <c r="A21">
        <v>502761009</v>
      </c>
      <c r="B21" t="s">
        <v>1423</v>
      </c>
      <c r="C21" s="3">
        <v>34000000</v>
      </c>
      <c r="D21" s="1">
        <v>0.1</v>
      </c>
      <c r="E21" s="3">
        <v>30600000</v>
      </c>
    </row>
    <row r="22" spans="1:5" x14ac:dyDescent="0.35">
      <c r="A22">
        <v>502761008</v>
      </c>
      <c r="B22" t="s">
        <v>1424</v>
      </c>
      <c r="C22" s="3">
        <v>34000000</v>
      </c>
      <c r="D22" s="1">
        <v>0.1</v>
      </c>
      <c r="E22" s="3">
        <v>30600000</v>
      </c>
    </row>
    <row r="23" spans="1:5" x14ac:dyDescent="0.35">
      <c r="A23">
        <v>502761010</v>
      </c>
      <c r="B23" t="s">
        <v>1425</v>
      </c>
      <c r="C23" s="3">
        <v>34000000</v>
      </c>
      <c r="D23" s="1">
        <v>0.1</v>
      </c>
      <c r="E23" s="3">
        <v>30600000</v>
      </c>
    </row>
    <row r="24" spans="1:5" x14ac:dyDescent="0.35">
      <c r="A24">
        <v>502761007</v>
      </c>
      <c r="B24" t="s">
        <v>1426</v>
      </c>
      <c r="C24" s="3">
        <v>34000000</v>
      </c>
      <c r="D24" s="1">
        <v>0.1</v>
      </c>
      <c r="E24" s="3">
        <v>30600000</v>
      </c>
    </row>
    <row r="25" spans="1:5" x14ac:dyDescent="0.35">
      <c r="A25">
        <v>502761006</v>
      </c>
      <c r="B25" t="s">
        <v>1427</v>
      </c>
      <c r="C25" s="3">
        <v>34000000</v>
      </c>
      <c r="D25" s="1">
        <v>0.1</v>
      </c>
      <c r="E25" s="3">
        <v>30600000</v>
      </c>
    </row>
    <row r="26" spans="1:5" x14ac:dyDescent="0.35">
      <c r="A26">
        <v>502761011</v>
      </c>
      <c r="B26" t="s">
        <v>1428</v>
      </c>
      <c r="C26" s="3">
        <v>34000000</v>
      </c>
      <c r="D26" s="1">
        <v>0.1</v>
      </c>
      <c r="E26" s="3">
        <v>30600000</v>
      </c>
    </row>
    <row r="27" spans="1:5" x14ac:dyDescent="0.35">
      <c r="A27">
        <v>502889005</v>
      </c>
      <c r="B27" t="s">
        <v>1429</v>
      </c>
      <c r="C27" s="3">
        <v>45000000</v>
      </c>
      <c r="D27" s="1">
        <v>0.1</v>
      </c>
      <c r="E27" s="3">
        <v>40500000</v>
      </c>
    </row>
    <row r="28" spans="1:5" x14ac:dyDescent="0.35">
      <c r="A28">
        <v>502889006</v>
      </c>
      <c r="B28" t="s">
        <v>1430</v>
      </c>
      <c r="C28" s="3">
        <v>45000000</v>
      </c>
      <c r="D28" s="1">
        <v>0.1</v>
      </c>
      <c r="E28" s="3">
        <v>40500000</v>
      </c>
    </row>
    <row r="29" spans="1:5" x14ac:dyDescent="0.35">
      <c r="A29">
        <v>502889004</v>
      </c>
      <c r="B29" t="s">
        <v>1431</v>
      </c>
      <c r="C29" s="3">
        <v>45000000</v>
      </c>
      <c r="D29" s="1">
        <v>0.1</v>
      </c>
      <c r="E29" s="3">
        <v>40500000</v>
      </c>
    </row>
    <row r="30" spans="1:5" x14ac:dyDescent="0.35">
      <c r="A30">
        <v>502889003</v>
      </c>
      <c r="B30" t="s">
        <v>1432</v>
      </c>
      <c r="C30" s="3">
        <v>45000000</v>
      </c>
      <c r="D30" s="1">
        <v>0.1</v>
      </c>
      <c r="E30" s="3">
        <v>40500000</v>
      </c>
    </row>
    <row r="31" spans="1:5" x14ac:dyDescent="0.35">
      <c r="A31">
        <v>502889002</v>
      </c>
      <c r="B31" t="s">
        <v>1433</v>
      </c>
      <c r="C31" s="3">
        <v>45000000</v>
      </c>
      <c r="D31" s="1">
        <v>0.1</v>
      </c>
      <c r="E31" s="3">
        <v>40500000</v>
      </c>
    </row>
    <row r="32" spans="1:5" x14ac:dyDescent="0.35">
      <c r="A32">
        <v>502889001</v>
      </c>
      <c r="B32" t="s">
        <v>1434</v>
      </c>
      <c r="C32" s="3">
        <v>45000000</v>
      </c>
      <c r="D32" s="1">
        <v>0.1</v>
      </c>
      <c r="E32" s="3">
        <v>40500000</v>
      </c>
    </row>
    <row r="33" spans="1:5" x14ac:dyDescent="0.35">
      <c r="A33">
        <v>502760007</v>
      </c>
      <c r="B33" t="s">
        <v>1435</v>
      </c>
      <c r="C33" s="3">
        <v>43000000</v>
      </c>
      <c r="D33" s="1">
        <v>0.1</v>
      </c>
      <c r="E33" s="3">
        <v>38700000</v>
      </c>
    </row>
    <row r="34" spans="1:5" x14ac:dyDescent="0.35">
      <c r="A34">
        <v>502760008</v>
      </c>
      <c r="B34" t="s">
        <v>1436</v>
      </c>
      <c r="C34" s="3">
        <v>43000000</v>
      </c>
      <c r="D34" s="1">
        <v>0.1</v>
      </c>
      <c r="E34" s="3">
        <v>38700000</v>
      </c>
    </row>
    <row r="35" spans="1:5" x14ac:dyDescent="0.35">
      <c r="A35">
        <v>502760009</v>
      </c>
      <c r="B35" t="s">
        <v>1437</v>
      </c>
      <c r="C35" s="3">
        <v>43000000</v>
      </c>
      <c r="D35" s="1">
        <v>0.1</v>
      </c>
      <c r="E35" s="3">
        <v>38700000</v>
      </c>
    </row>
    <row r="36" spans="1:5" x14ac:dyDescent="0.35">
      <c r="A36">
        <v>502760010</v>
      </c>
      <c r="B36" t="s">
        <v>1438</v>
      </c>
      <c r="C36" s="3">
        <v>43000000</v>
      </c>
      <c r="D36" s="1">
        <v>0.1</v>
      </c>
      <c r="E36" s="3">
        <v>38700000</v>
      </c>
    </row>
    <row r="37" spans="1:5" x14ac:dyDescent="0.35">
      <c r="A37">
        <v>502760006</v>
      </c>
      <c r="B37" t="s">
        <v>1439</v>
      </c>
      <c r="C37" s="3">
        <v>43000000</v>
      </c>
      <c r="D37" s="1">
        <v>0.1</v>
      </c>
      <c r="E37" s="3">
        <v>38700000</v>
      </c>
    </row>
    <row r="38" spans="1:5" x14ac:dyDescent="0.35">
      <c r="A38">
        <v>502760011</v>
      </c>
      <c r="B38" t="s">
        <v>1440</v>
      </c>
      <c r="C38" s="3">
        <v>43000000</v>
      </c>
      <c r="D38" s="1">
        <v>0.1</v>
      </c>
      <c r="E38" s="3">
        <v>38700000</v>
      </c>
    </row>
    <row r="39" spans="1:5" x14ac:dyDescent="0.35">
      <c r="A39">
        <v>502759004</v>
      </c>
      <c r="B39" t="s">
        <v>1441</v>
      </c>
      <c r="C39" s="3">
        <v>60000000</v>
      </c>
      <c r="D39" s="1">
        <v>0.1</v>
      </c>
      <c r="E39" s="3">
        <v>54000000</v>
      </c>
    </row>
    <row r="40" spans="1:5" x14ac:dyDescent="0.35">
      <c r="A40">
        <v>502759018</v>
      </c>
      <c r="B40" t="s">
        <v>1442</v>
      </c>
      <c r="C40" s="3">
        <v>60000000</v>
      </c>
      <c r="D40" s="1">
        <v>0.1</v>
      </c>
      <c r="E40" s="3">
        <v>54000000</v>
      </c>
    </row>
    <row r="41" spans="1:5" x14ac:dyDescent="0.35">
      <c r="A41">
        <v>502759005</v>
      </c>
      <c r="B41" t="s">
        <v>1443</v>
      </c>
      <c r="C41" s="3">
        <v>60000000</v>
      </c>
      <c r="D41" s="1">
        <v>0.1</v>
      </c>
      <c r="E41" s="3">
        <v>54000000</v>
      </c>
    </row>
    <row r="42" spans="1:5" x14ac:dyDescent="0.35">
      <c r="A42">
        <v>502759019</v>
      </c>
      <c r="B42" t="s">
        <v>1444</v>
      </c>
      <c r="C42" s="3">
        <v>60000000</v>
      </c>
      <c r="D42" s="1">
        <v>0.1</v>
      </c>
      <c r="E42" s="3">
        <v>54000000</v>
      </c>
    </row>
    <row r="43" spans="1:5" x14ac:dyDescent="0.35">
      <c r="A43">
        <v>502759003</v>
      </c>
      <c r="B43" t="s">
        <v>1445</v>
      </c>
      <c r="C43" s="3">
        <v>60000000</v>
      </c>
      <c r="D43" s="1">
        <v>0.1</v>
      </c>
      <c r="E43" s="3">
        <v>54000000</v>
      </c>
    </row>
    <row r="44" spans="1:5" x14ac:dyDescent="0.35">
      <c r="A44">
        <v>502759017</v>
      </c>
      <c r="B44" t="s">
        <v>1446</v>
      </c>
      <c r="C44" s="3">
        <v>60000000</v>
      </c>
      <c r="D44" s="1">
        <v>0.1</v>
      </c>
      <c r="E44" s="3">
        <v>54000000</v>
      </c>
    </row>
    <row r="45" spans="1:5" x14ac:dyDescent="0.35">
      <c r="A45">
        <v>502759016</v>
      </c>
      <c r="B45" t="s">
        <v>1447</v>
      </c>
      <c r="C45" s="3">
        <v>60000000</v>
      </c>
      <c r="D45" s="1">
        <v>0.1</v>
      </c>
      <c r="E45" s="3">
        <v>54000000</v>
      </c>
    </row>
    <row r="46" spans="1:5" x14ac:dyDescent="0.35">
      <c r="A46">
        <v>502759001</v>
      </c>
      <c r="B46" t="s">
        <v>1448</v>
      </c>
      <c r="C46" s="3">
        <v>60000000</v>
      </c>
      <c r="D46" s="1">
        <v>0.1</v>
      </c>
      <c r="E46" s="3">
        <v>54000000</v>
      </c>
    </row>
    <row r="47" spans="1:5" x14ac:dyDescent="0.35">
      <c r="A47">
        <v>502759015</v>
      </c>
      <c r="B47" t="s">
        <v>1449</v>
      </c>
      <c r="C47" s="3">
        <v>60000000</v>
      </c>
      <c r="D47" s="1">
        <v>0.1</v>
      </c>
      <c r="E47" s="3">
        <v>54000000</v>
      </c>
    </row>
    <row r="48" spans="1:5" x14ac:dyDescent="0.35">
      <c r="A48">
        <v>502759011</v>
      </c>
      <c r="B48" t="s">
        <v>1450</v>
      </c>
      <c r="C48" s="3">
        <v>60000000</v>
      </c>
      <c r="D48" s="1">
        <v>0.1</v>
      </c>
      <c r="E48" s="3">
        <v>54000000</v>
      </c>
    </row>
    <row r="49" spans="1:5" x14ac:dyDescent="0.35">
      <c r="A49">
        <v>502759014</v>
      </c>
      <c r="B49" t="s">
        <v>1451</v>
      </c>
      <c r="C49" s="3">
        <v>60000000</v>
      </c>
      <c r="D49" s="1">
        <v>0.1</v>
      </c>
      <c r="E49" s="3">
        <v>54000000</v>
      </c>
    </row>
    <row r="50" spans="1:5" x14ac:dyDescent="0.35">
      <c r="A50">
        <v>502759012</v>
      </c>
      <c r="B50" t="s">
        <v>1452</v>
      </c>
      <c r="C50" s="3">
        <v>60000000</v>
      </c>
      <c r="D50" s="1">
        <v>0.1</v>
      </c>
      <c r="E50" s="3">
        <v>54000000</v>
      </c>
    </row>
    <row r="51" spans="1:5" x14ac:dyDescent="0.35">
      <c r="A51">
        <v>502759013</v>
      </c>
      <c r="B51" t="s">
        <v>1453</v>
      </c>
      <c r="C51" s="3">
        <v>60000000</v>
      </c>
      <c r="D51" s="1">
        <v>0.1</v>
      </c>
      <c r="E51" s="3">
        <v>54000000</v>
      </c>
    </row>
    <row r="52" spans="1:5" x14ac:dyDescent="0.35">
      <c r="A52">
        <v>502795004</v>
      </c>
      <c r="B52" t="s">
        <v>1454</v>
      </c>
      <c r="C52" s="3">
        <v>80000000</v>
      </c>
      <c r="D52" s="1">
        <v>0.1</v>
      </c>
      <c r="E52" s="3">
        <v>72000000</v>
      </c>
    </row>
    <row r="53" spans="1:5" x14ac:dyDescent="0.35">
      <c r="A53">
        <v>502795009</v>
      </c>
      <c r="B53" t="s">
        <v>1455</v>
      </c>
      <c r="C53" s="3">
        <v>80000000</v>
      </c>
      <c r="D53" s="1">
        <v>0.1</v>
      </c>
      <c r="E53" s="3">
        <v>72000000</v>
      </c>
    </row>
    <row r="54" spans="1:5" x14ac:dyDescent="0.35">
      <c r="A54">
        <v>502795014</v>
      </c>
      <c r="B54" t="s">
        <v>1456</v>
      </c>
      <c r="C54" s="3">
        <v>80000000</v>
      </c>
      <c r="D54" s="1">
        <v>0.1</v>
      </c>
      <c r="E54" s="3">
        <v>72000000</v>
      </c>
    </row>
    <row r="55" spans="1:5" x14ac:dyDescent="0.35">
      <c r="A55">
        <v>502795023</v>
      </c>
      <c r="B55" t="s">
        <v>1457</v>
      </c>
      <c r="C55" s="3">
        <v>80000000</v>
      </c>
      <c r="D55" s="1">
        <v>0.1</v>
      </c>
      <c r="E55" s="3">
        <v>72000000</v>
      </c>
    </row>
    <row r="56" spans="1:5" x14ac:dyDescent="0.35">
      <c r="A56">
        <v>502795005</v>
      </c>
      <c r="B56" t="s">
        <v>1458</v>
      </c>
      <c r="C56" s="3">
        <v>80000000</v>
      </c>
      <c r="D56" s="1">
        <v>0.1</v>
      </c>
      <c r="E56" s="3">
        <v>72000000</v>
      </c>
    </row>
    <row r="57" spans="1:5" x14ac:dyDescent="0.35">
      <c r="A57">
        <v>502795010</v>
      </c>
      <c r="B57" t="s">
        <v>1459</v>
      </c>
      <c r="C57" s="3">
        <v>80000000</v>
      </c>
      <c r="D57" s="1">
        <v>0.1</v>
      </c>
      <c r="E57" s="3">
        <v>72000000</v>
      </c>
    </row>
    <row r="58" spans="1:5" x14ac:dyDescent="0.35">
      <c r="A58">
        <v>502795015</v>
      </c>
      <c r="B58" t="s">
        <v>1460</v>
      </c>
      <c r="C58" s="3">
        <v>80000000</v>
      </c>
      <c r="D58" s="1">
        <v>0.1</v>
      </c>
      <c r="E58" s="3">
        <v>72000000</v>
      </c>
    </row>
    <row r="59" spans="1:5" x14ac:dyDescent="0.35">
      <c r="A59">
        <v>502795024</v>
      </c>
      <c r="B59" t="s">
        <v>1461</v>
      </c>
      <c r="C59" s="3">
        <v>80000000</v>
      </c>
      <c r="D59" s="1">
        <v>0.1</v>
      </c>
      <c r="E59" s="3">
        <v>72000000</v>
      </c>
    </row>
    <row r="60" spans="1:5" x14ac:dyDescent="0.35">
      <c r="A60">
        <v>502795003</v>
      </c>
      <c r="B60" t="s">
        <v>1462</v>
      </c>
      <c r="C60" s="3">
        <v>80000000</v>
      </c>
      <c r="D60" s="1">
        <v>0.1</v>
      </c>
      <c r="E60" s="3">
        <v>72000000</v>
      </c>
    </row>
    <row r="61" spans="1:5" x14ac:dyDescent="0.35">
      <c r="A61">
        <v>502795008</v>
      </c>
      <c r="B61" t="s">
        <v>1463</v>
      </c>
      <c r="C61" s="3">
        <v>80000000</v>
      </c>
      <c r="D61" s="1">
        <v>0.1</v>
      </c>
      <c r="E61" s="3">
        <v>72000000</v>
      </c>
    </row>
    <row r="62" spans="1:5" x14ac:dyDescent="0.35">
      <c r="A62">
        <v>502795013</v>
      </c>
      <c r="B62" t="s">
        <v>1464</v>
      </c>
      <c r="C62" s="3">
        <v>80000000</v>
      </c>
      <c r="D62" s="1">
        <v>0.1</v>
      </c>
      <c r="E62" s="3">
        <v>72000000</v>
      </c>
    </row>
    <row r="63" spans="1:5" x14ac:dyDescent="0.35">
      <c r="A63">
        <v>502795022</v>
      </c>
      <c r="B63" t="s">
        <v>1465</v>
      </c>
      <c r="C63" s="3">
        <v>80000000</v>
      </c>
      <c r="D63" s="1">
        <v>0.1</v>
      </c>
      <c r="E63" s="3">
        <v>72000000</v>
      </c>
    </row>
    <row r="64" spans="1:5" x14ac:dyDescent="0.35">
      <c r="A64">
        <v>502795002</v>
      </c>
      <c r="B64" t="s">
        <v>1466</v>
      </c>
      <c r="C64" s="3">
        <v>80000000</v>
      </c>
      <c r="D64" s="1">
        <v>0.1</v>
      </c>
      <c r="E64" s="3">
        <v>72000000</v>
      </c>
    </row>
    <row r="65" spans="1:5" x14ac:dyDescent="0.35">
      <c r="A65">
        <v>502795007</v>
      </c>
      <c r="B65" t="s">
        <v>1467</v>
      </c>
      <c r="C65" s="3">
        <v>80000000</v>
      </c>
      <c r="D65" s="1">
        <v>0.1</v>
      </c>
      <c r="E65" s="3">
        <v>72000000</v>
      </c>
    </row>
    <row r="66" spans="1:5" x14ac:dyDescent="0.35">
      <c r="A66">
        <v>502795012</v>
      </c>
      <c r="B66" t="s">
        <v>1468</v>
      </c>
      <c r="C66" s="3">
        <v>80000000</v>
      </c>
      <c r="D66" s="1">
        <v>0.1</v>
      </c>
      <c r="E66" s="3">
        <v>72000000</v>
      </c>
    </row>
    <row r="67" spans="1:5" x14ac:dyDescent="0.35">
      <c r="A67">
        <v>502795021</v>
      </c>
      <c r="B67" t="s">
        <v>1469</v>
      </c>
      <c r="C67" s="3">
        <v>80000000</v>
      </c>
      <c r="D67" s="1">
        <v>0.1</v>
      </c>
      <c r="E67" s="3">
        <v>72000000</v>
      </c>
    </row>
    <row r="68" spans="1:5" x14ac:dyDescent="0.35">
      <c r="A68">
        <v>502795001</v>
      </c>
      <c r="B68" t="s">
        <v>1470</v>
      </c>
      <c r="C68" s="3">
        <v>80000000</v>
      </c>
      <c r="D68" s="1">
        <v>0.1</v>
      </c>
      <c r="E68" s="3">
        <v>72000000</v>
      </c>
    </row>
    <row r="69" spans="1:5" x14ac:dyDescent="0.35">
      <c r="A69">
        <v>502795006</v>
      </c>
      <c r="B69" t="s">
        <v>1471</v>
      </c>
      <c r="C69" s="3">
        <v>80000000</v>
      </c>
      <c r="D69" s="1">
        <v>0.1</v>
      </c>
      <c r="E69" s="3">
        <v>72000000</v>
      </c>
    </row>
    <row r="70" spans="1:5" x14ac:dyDescent="0.35">
      <c r="A70">
        <v>502795011</v>
      </c>
      <c r="B70" t="s">
        <v>1472</v>
      </c>
      <c r="C70" s="3">
        <v>80000000</v>
      </c>
      <c r="D70" s="1">
        <v>0.1</v>
      </c>
      <c r="E70" s="3">
        <v>72000000</v>
      </c>
    </row>
    <row r="71" spans="1:5" x14ac:dyDescent="0.35">
      <c r="A71">
        <v>502795020</v>
      </c>
      <c r="B71" t="s">
        <v>1473</v>
      </c>
      <c r="C71" s="3">
        <v>80000000</v>
      </c>
      <c r="D71" s="1">
        <v>0.1</v>
      </c>
      <c r="E71" s="3">
        <v>72000000</v>
      </c>
    </row>
    <row r="72" spans="1:5" x14ac:dyDescent="0.35">
      <c r="A72">
        <v>502795016</v>
      </c>
      <c r="B72" t="s">
        <v>1474</v>
      </c>
      <c r="C72" s="3">
        <v>80000000</v>
      </c>
      <c r="D72" s="1">
        <v>0.1</v>
      </c>
      <c r="E72" s="3">
        <v>72000000</v>
      </c>
    </row>
    <row r="73" spans="1:5" x14ac:dyDescent="0.35">
      <c r="A73">
        <v>502795017</v>
      </c>
      <c r="B73" t="s">
        <v>1475</v>
      </c>
      <c r="C73" s="3">
        <v>80000000</v>
      </c>
      <c r="D73" s="1">
        <v>0.1</v>
      </c>
      <c r="E73" s="3">
        <v>72000000</v>
      </c>
    </row>
    <row r="74" spans="1:5" x14ac:dyDescent="0.35">
      <c r="A74">
        <v>502795018</v>
      </c>
      <c r="B74" t="s">
        <v>1476</v>
      </c>
      <c r="C74" s="3">
        <v>80000000</v>
      </c>
      <c r="D74" s="1">
        <v>0.1</v>
      </c>
      <c r="E74" s="3">
        <v>72000000</v>
      </c>
    </row>
    <row r="75" spans="1:5" x14ac:dyDescent="0.35">
      <c r="A75">
        <v>502795019</v>
      </c>
      <c r="B75" t="s">
        <v>1477</v>
      </c>
      <c r="C75" s="3">
        <v>80000000</v>
      </c>
      <c r="D75" s="1">
        <v>0.1</v>
      </c>
      <c r="E75" s="3">
        <v>72000000</v>
      </c>
    </row>
    <row r="76" spans="1:5" x14ac:dyDescent="0.35">
      <c r="A76">
        <v>502758004</v>
      </c>
      <c r="B76" t="s">
        <v>1478</v>
      </c>
      <c r="C76" s="3">
        <v>90000000</v>
      </c>
      <c r="D76" s="1">
        <v>0.1</v>
      </c>
      <c r="E76" s="3">
        <v>81000000</v>
      </c>
    </row>
    <row r="77" spans="1:5" x14ac:dyDescent="0.35">
      <c r="A77">
        <v>502758009</v>
      </c>
      <c r="B77" t="s">
        <v>1479</v>
      </c>
      <c r="C77" s="3">
        <v>90000000</v>
      </c>
      <c r="D77" s="1">
        <v>0.1</v>
      </c>
      <c r="E77" s="3">
        <v>81000000</v>
      </c>
    </row>
    <row r="78" spans="1:5" x14ac:dyDescent="0.35">
      <c r="A78">
        <v>502758014</v>
      </c>
      <c r="B78" t="s">
        <v>1480</v>
      </c>
      <c r="C78" s="3">
        <v>90000000</v>
      </c>
      <c r="D78" s="1">
        <v>0.1</v>
      </c>
      <c r="E78" s="3">
        <v>81000000</v>
      </c>
    </row>
    <row r="79" spans="1:5" x14ac:dyDescent="0.35">
      <c r="A79">
        <v>502758023</v>
      </c>
      <c r="B79" t="s">
        <v>1481</v>
      </c>
      <c r="C79" s="3">
        <v>90000000</v>
      </c>
      <c r="D79" s="1">
        <v>0.1</v>
      </c>
      <c r="E79" s="3">
        <v>81000000</v>
      </c>
    </row>
    <row r="80" spans="1:5" x14ac:dyDescent="0.35">
      <c r="A80">
        <v>502758005</v>
      </c>
      <c r="B80" t="s">
        <v>1482</v>
      </c>
      <c r="C80" s="3">
        <v>90000000</v>
      </c>
      <c r="D80" s="1">
        <v>0.1</v>
      </c>
      <c r="E80" s="3">
        <v>81000000</v>
      </c>
    </row>
    <row r="81" spans="1:5" x14ac:dyDescent="0.35">
      <c r="A81">
        <v>502758010</v>
      </c>
      <c r="B81" t="s">
        <v>1483</v>
      </c>
      <c r="C81" s="3">
        <v>90000000</v>
      </c>
      <c r="D81" s="1">
        <v>0.1</v>
      </c>
      <c r="E81" s="3">
        <v>81000000</v>
      </c>
    </row>
    <row r="82" spans="1:5" x14ac:dyDescent="0.35">
      <c r="A82">
        <v>502758015</v>
      </c>
      <c r="B82" t="s">
        <v>1484</v>
      </c>
      <c r="C82" s="3">
        <v>90000000</v>
      </c>
      <c r="D82" s="1">
        <v>0.1</v>
      </c>
      <c r="E82" s="3">
        <v>81000000</v>
      </c>
    </row>
    <row r="83" spans="1:5" x14ac:dyDescent="0.35">
      <c r="A83">
        <v>502758024</v>
      </c>
      <c r="B83" t="s">
        <v>1485</v>
      </c>
      <c r="C83" s="3">
        <v>90000000</v>
      </c>
      <c r="D83" s="1">
        <v>0.1</v>
      </c>
      <c r="E83" s="3">
        <v>81000000</v>
      </c>
    </row>
    <row r="84" spans="1:5" x14ac:dyDescent="0.35">
      <c r="A84">
        <v>502758003</v>
      </c>
      <c r="B84" t="s">
        <v>1486</v>
      </c>
      <c r="C84" s="3">
        <v>90000000</v>
      </c>
      <c r="D84" s="1">
        <v>0.1</v>
      </c>
      <c r="E84" s="3">
        <v>81000000</v>
      </c>
    </row>
    <row r="85" spans="1:5" x14ac:dyDescent="0.35">
      <c r="A85">
        <v>502758008</v>
      </c>
      <c r="B85" t="s">
        <v>1487</v>
      </c>
      <c r="C85" s="3">
        <v>90000000</v>
      </c>
      <c r="D85" s="1">
        <v>0.1</v>
      </c>
      <c r="E85" s="3">
        <v>81000000</v>
      </c>
    </row>
    <row r="86" spans="1:5" x14ac:dyDescent="0.35">
      <c r="A86">
        <v>502758013</v>
      </c>
      <c r="B86" t="s">
        <v>1488</v>
      </c>
      <c r="C86" s="3">
        <v>90000000</v>
      </c>
      <c r="D86" s="1">
        <v>0.1</v>
      </c>
      <c r="E86" s="3">
        <v>81000000</v>
      </c>
    </row>
    <row r="87" spans="1:5" x14ac:dyDescent="0.35">
      <c r="A87">
        <v>502758022</v>
      </c>
      <c r="B87" t="s">
        <v>1489</v>
      </c>
      <c r="C87" s="3">
        <v>90000000</v>
      </c>
      <c r="D87" s="1">
        <v>0.1</v>
      </c>
      <c r="E87" s="3">
        <v>81000000</v>
      </c>
    </row>
    <row r="88" spans="1:5" x14ac:dyDescent="0.35">
      <c r="A88">
        <v>502758002</v>
      </c>
      <c r="B88" t="s">
        <v>1490</v>
      </c>
      <c r="C88" s="3">
        <v>90000000</v>
      </c>
      <c r="D88" s="1">
        <v>0.1</v>
      </c>
      <c r="E88" s="3">
        <v>81000000</v>
      </c>
    </row>
    <row r="89" spans="1:5" x14ac:dyDescent="0.35">
      <c r="A89">
        <v>502758007</v>
      </c>
      <c r="B89" t="s">
        <v>1491</v>
      </c>
      <c r="C89" s="3">
        <v>90000000</v>
      </c>
      <c r="D89" s="1">
        <v>0.1</v>
      </c>
      <c r="E89" s="3">
        <v>81000000</v>
      </c>
    </row>
    <row r="90" spans="1:5" x14ac:dyDescent="0.35">
      <c r="A90">
        <v>502758012</v>
      </c>
      <c r="B90" t="s">
        <v>1492</v>
      </c>
      <c r="C90" s="3">
        <v>90000000</v>
      </c>
      <c r="D90" s="1">
        <v>0.1</v>
      </c>
      <c r="E90" s="3">
        <v>81000000</v>
      </c>
    </row>
    <row r="91" spans="1:5" x14ac:dyDescent="0.35">
      <c r="A91">
        <v>502758021</v>
      </c>
      <c r="B91" t="s">
        <v>1493</v>
      </c>
      <c r="C91" s="3">
        <v>90000000</v>
      </c>
      <c r="D91" s="1">
        <v>0.1</v>
      </c>
      <c r="E91" s="3">
        <v>81000000</v>
      </c>
    </row>
    <row r="92" spans="1:5" x14ac:dyDescent="0.35">
      <c r="A92">
        <v>502758001</v>
      </c>
      <c r="B92" t="s">
        <v>1494</v>
      </c>
      <c r="C92" s="3">
        <v>90000000</v>
      </c>
      <c r="D92" s="1">
        <v>0.1</v>
      </c>
      <c r="E92" s="3">
        <v>81000000</v>
      </c>
    </row>
    <row r="93" spans="1:5" x14ac:dyDescent="0.35">
      <c r="A93">
        <v>502758006</v>
      </c>
      <c r="B93" t="s">
        <v>1495</v>
      </c>
      <c r="C93" s="3">
        <v>90000000</v>
      </c>
      <c r="D93" s="1">
        <v>0.1</v>
      </c>
      <c r="E93" s="3">
        <v>81000000</v>
      </c>
    </row>
    <row r="94" spans="1:5" x14ac:dyDescent="0.35">
      <c r="A94">
        <v>502758011</v>
      </c>
      <c r="B94" t="s">
        <v>1496</v>
      </c>
      <c r="C94" s="3">
        <v>90000000</v>
      </c>
      <c r="D94" s="1">
        <v>0.1</v>
      </c>
      <c r="E94" s="3">
        <v>81000000</v>
      </c>
    </row>
    <row r="95" spans="1:5" x14ac:dyDescent="0.35">
      <c r="A95">
        <v>502758020</v>
      </c>
      <c r="B95" t="s">
        <v>1497</v>
      </c>
      <c r="C95" s="3">
        <v>90000000</v>
      </c>
      <c r="D95" s="1">
        <v>0.1</v>
      </c>
      <c r="E95" s="3">
        <v>81000000</v>
      </c>
    </row>
    <row r="96" spans="1:5" x14ac:dyDescent="0.35">
      <c r="A96">
        <v>502758016</v>
      </c>
      <c r="B96" t="s">
        <v>1498</v>
      </c>
      <c r="C96" s="3">
        <v>90000000</v>
      </c>
      <c r="D96" s="1">
        <v>0.1</v>
      </c>
      <c r="E96" s="3">
        <v>81000000</v>
      </c>
    </row>
    <row r="97" spans="1:5" x14ac:dyDescent="0.35">
      <c r="A97">
        <v>502758017</v>
      </c>
      <c r="B97" t="s">
        <v>1499</v>
      </c>
      <c r="C97" s="3">
        <v>90000000</v>
      </c>
      <c r="D97" s="1">
        <v>0.1</v>
      </c>
      <c r="E97" s="3">
        <v>81000000</v>
      </c>
    </row>
    <row r="98" spans="1:5" x14ac:dyDescent="0.35">
      <c r="A98">
        <v>502758018</v>
      </c>
      <c r="B98" t="s">
        <v>1500</v>
      </c>
      <c r="C98" s="3">
        <v>90000000</v>
      </c>
      <c r="D98" s="1">
        <v>0.1</v>
      </c>
      <c r="E98" s="3">
        <v>81000000</v>
      </c>
    </row>
    <row r="99" spans="1:5" x14ac:dyDescent="0.35">
      <c r="A99">
        <v>502758019</v>
      </c>
      <c r="B99" t="s">
        <v>1501</v>
      </c>
      <c r="C99" s="3">
        <v>90000000</v>
      </c>
      <c r="D99" s="1">
        <v>0.1</v>
      </c>
      <c r="E99" s="3">
        <v>81000000</v>
      </c>
    </row>
    <row r="100" spans="1:5" x14ac:dyDescent="0.35">
      <c r="A100">
        <v>502829005</v>
      </c>
      <c r="B100" t="s">
        <v>1502</v>
      </c>
      <c r="C100" s="3">
        <v>95000000</v>
      </c>
      <c r="D100" s="1">
        <v>0.1</v>
      </c>
      <c r="E100" s="3">
        <v>85500000</v>
      </c>
    </row>
    <row r="101" spans="1:5" x14ac:dyDescent="0.35">
      <c r="A101">
        <v>502829011</v>
      </c>
      <c r="B101" t="s">
        <v>1503</v>
      </c>
      <c r="C101" s="3">
        <v>95000000</v>
      </c>
      <c r="D101" s="1">
        <v>0.1</v>
      </c>
      <c r="E101" s="3">
        <v>85500000</v>
      </c>
    </row>
    <row r="102" spans="1:5" x14ac:dyDescent="0.35">
      <c r="A102">
        <v>502829017</v>
      </c>
      <c r="B102" t="s">
        <v>1504</v>
      </c>
      <c r="C102" s="3">
        <v>95000000</v>
      </c>
      <c r="D102" s="1">
        <v>0.1</v>
      </c>
      <c r="E102" s="3">
        <v>85500000</v>
      </c>
    </row>
    <row r="103" spans="1:5" x14ac:dyDescent="0.35">
      <c r="A103">
        <v>502829023</v>
      </c>
      <c r="B103" t="s">
        <v>1505</v>
      </c>
      <c r="C103" s="3">
        <v>95000000</v>
      </c>
      <c r="D103" s="1">
        <v>0.1</v>
      </c>
      <c r="E103" s="3">
        <v>85500000</v>
      </c>
    </row>
    <row r="104" spans="1:5" x14ac:dyDescent="0.35">
      <c r="A104">
        <v>502829006</v>
      </c>
      <c r="B104" t="s">
        <v>1506</v>
      </c>
      <c r="C104" s="3">
        <v>95000000</v>
      </c>
      <c r="D104" s="1">
        <v>0.1</v>
      </c>
      <c r="E104" s="3">
        <v>85500000</v>
      </c>
    </row>
    <row r="105" spans="1:5" x14ac:dyDescent="0.35">
      <c r="A105">
        <v>502829012</v>
      </c>
      <c r="B105" t="s">
        <v>1507</v>
      </c>
      <c r="C105" s="3">
        <v>95000000</v>
      </c>
      <c r="D105" s="1">
        <v>0.1</v>
      </c>
      <c r="E105" s="3">
        <v>85500000</v>
      </c>
    </row>
    <row r="106" spans="1:5" x14ac:dyDescent="0.35">
      <c r="A106">
        <v>502829018</v>
      </c>
      <c r="B106" t="s">
        <v>1508</v>
      </c>
      <c r="C106" s="3">
        <v>95000000</v>
      </c>
      <c r="D106" s="1">
        <v>0.1</v>
      </c>
      <c r="E106" s="3">
        <v>85500000</v>
      </c>
    </row>
    <row r="107" spans="1:5" x14ac:dyDescent="0.35">
      <c r="A107">
        <v>502829024</v>
      </c>
      <c r="B107" t="s">
        <v>1509</v>
      </c>
      <c r="C107" s="3">
        <v>95000000</v>
      </c>
      <c r="D107" s="1">
        <v>0.1</v>
      </c>
      <c r="E107" s="3">
        <v>85500000</v>
      </c>
    </row>
    <row r="108" spans="1:5" x14ac:dyDescent="0.35">
      <c r="A108">
        <v>502829004</v>
      </c>
      <c r="B108" t="s">
        <v>1510</v>
      </c>
      <c r="C108" s="3">
        <v>95000000</v>
      </c>
      <c r="D108" s="1">
        <v>0.1</v>
      </c>
      <c r="E108" s="3">
        <v>85500000</v>
      </c>
    </row>
    <row r="109" spans="1:5" x14ac:dyDescent="0.35">
      <c r="A109">
        <v>502829010</v>
      </c>
      <c r="B109" t="s">
        <v>1511</v>
      </c>
      <c r="C109" s="3">
        <v>95000000</v>
      </c>
      <c r="D109" s="1">
        <v>0.1</v>
      </c>
      <c r="E109" s="3">
        <v>85500000</v>
      </c>
    </row>
    <row r="110" spans="1:5" x14ac:dyDescent="0.35">
      <c r="A110">
        <v>502829016</v>
      </c>
      <c r="B110" t="s">
        <v>1512</v>
      </c>
      <c r="C110" s="3">
        <v>95000000</v>
      </c>
      <c r="D110" s="1">
        <v>0.1</v>
      </c>
      <c r="E110" s="3">
        <v>85500000</v>
      </c>
    </row>
    <row r="111" spans="1:5" x14ac:dyDescent="0.35">
      <c r="A111">
        <v>502829022</v>
      </c>
      <c r="B111" t="s">
        <v>1513</v>
      </c>
      <c r="C111" s="3">
        <v>95000000</v>
      </c>
      <c r="D111" s="1">
        <v>0.1</v>
      </c>
      <c r="E111" s="3">
        <v>85500000</v>
      </c>
    </row>
    <row r="112" spans="1:5" x14ac:dyDescent="0.35">
      <c r="A112">
        <v>502829003</v>
      </c>
      <c r="B112" t="s">
        <v>1514</v>
      </c>
      <c r="C112" s="3">
        <v>95000000</v>
      </c>
      <c r="D112" s="1">
        <v>0.1</v>
      </c>
      <c r="E112" s="3">
        <v>85500000</v>
      </c>
    </row>
    <row r="113" spans="1:5" x14ac:dyDescent="0.35">
      <c r="A113">
        <v>502829009</v>
      </c>
      <c r="B113" t="s">
        <v>1515</v>
      </c>
      <c r="C113" s="3">
        <v>95000000</v>
      </c>
      <c r="D113" s="1">
        <v>0.1</v>
      </c>
      <c r="E113" s="3">
        <v>85500000</v>
      </c>
    </row>
    <row r="114" spans="1:5" x14ac:dyDescent="0.35">
      <c r="A114">
        <v>502829015</v>
      </c>
      <c r="B114" t="s">
        <v>1516</v>
      </c>
      <c r="C114" s="3">
        <v>95000000</v>
      </c>
      <c r="D114" s="1">
        <v>0.1</v>
      </c>
      <c r="E114" s="3">
        <v>85500000</v>
      </c>
    </row>
    <row r="115" spans="1:5" x14ac:dyDescent="0.35">
      <c r="A115">
        <v>502829021</v>
      </c>
      <c r="B115" t="s">
        <v>1517</v>
      </c>
      <c r="C115" s="3">
        <v>95000000</v>
      </c>
      <c r="D115" s="1">
        <v>0.1</v>
      </c>
      <c r="E115" s="3">
        <v>85500000</v>
      </c>
    </row>
    <row r="116" spans="1:5" x14ac:dyDescent="0.35">
      <c r="A116">
        <v>502829002</v>
      </c>
      <c r="B116" t="s">
        <v>1518</v>
      </c>
      <c r="C116" s="3">
        <v>95000000</v>
      </c>
      <c r="D116" s="1">
        <v>0.1</v>
      </c>
      <c r="E116" s="3">
        <v>85500000</v>
      </c>
    </row>
    <row r="117" spans="1:5" x14ac:dyDescent="0.35">
      <c r="A117">
        <v>502829008</v>
      </c>
      <c r="B117" t="s">
        <v>1519</v>
      </c>
      <c r="C117" s="3">
        <v>95000000</v>
      </c>
      <c r="D117" s="1">
        <v>0.1</v>
      </c>
      <c r="E117" s="3">
        <v>85500000</v>
      </c>
    </row>
    <row r="118" spans="1:5" x14ac:dyDescent="0.35">
      <c r="A118">
        <v>502829014</v>
      </c>
      <c r="B118" t="s">
        <v>1520</v>
      </c>
      <c r="C118" s="3">
        <v>95000000</v>
      </c>
      <c r="D118" s="1">
        <v>0.1</v>
      </c>
      <c r="E118" s="3">
        <v>85500000</v>
      </c>
    </row>
    <row r="119" spans="1:5" x14ac:dyDescent="0.35">
      <c r="A119">
        <v>502829020</v>
      </c>
      <c r="B119" t="s">
        <v>1521</v>
      </c>
      <c r="C119" s="3">
        <v>95000000</v>
      </c>
      <c r="D119" s="1">
        <v>0.1</v>
      </c>
      <c r="E119" s="3">
        <v>85500000</v>
      </c>
    </row>
    <row r="120" spans="1:5" x14ac:dyDescent="0.35">
      <c r="A120">
        <v>502829001</v>
      </c>
      <c r="B120" t="s">
        <v>1522</v>
      </c>
      <c r="C120" s="3">
        <v>95000000</v>
      </c>
      <c r="D120" s="1">
        <v>0.1</v>
      </c>
      <c r="E120" s="3">
        <v>85500000</v>
      </c>
    </row>
    <row r="121" spans="1:5" x14ac:dyDescent="0.35">
      <c r="A121">
        <v>502829007</v>
      </c>
      <c r="B121" t="s">
        <v>1523</v>
      </c>
      <c r="C121" s="3">
        <v>95000000</v>
      </c>
      <c r="D121" s="1">
        <v>0.1</v>
      </c>
      <c r="E121" s="3">
        <v>85500000</v>
      </c>
    </row>
    <row r="122" spans="1:5" x14ac:dyDescent="0.35">
      <c r="A122">
        <v>502829013</v>
      </c>
      <c r="B122" t="s">
        <v>1524</v>
      </c>
      <c r="C122" s="3">
        <v>95000000</v>
      </c>
      <c r="D122" s="1">
        <v>0.1</v>
      </c>
      <c r="E122" s="3">
        <v>85500000</v>
      </c>
    </row>
    <row r="123" spans="1:5" x14ac:dyDescent="0.35">
      <c r="A123">
        <v>502829019</v>
      </c>
      <c r="B123" t="s">
        <v>1525</v>
      </c>
      <c r="C123" s="3">
        <v>95000000</v>
      </c>
      <c r="D123" s="1">
        <v>0.1</v>
      </c>
      <c r="E123" s="3">
        <v>85500000</v>
      </c>
    </row>
    <row r="124" spans="1:5" x14ac:dyDescent="0.35">
      <c r="A124">
        <v>502794004</v>
      </c>
      <c r="B124" t="s">
        <v>1526</v>
      </c>
      <c r="C124" s="3">
        <v>105000000</v>
      </c>
      <c r="D124" s="1">
        <v>0.1</v>
      </c>
      <c r="E124" s="3">
        <v>94500000</v>
      </c>
    </row>
    <row r="125" spans="1:5" x14ac:dyDescent="0.35">
      <c r="A125">
        <v>502794009</v>
      </c>
      <c r="B125" t="s">
        <v>1527</v>
      </c>
      <c r="C125" s="3">
        <v>105000000</v>
      </c>
      <c r="D125" s="1">
        <v>0.1</v>
      </c>
      <c r="E125" s="3">
        <v>94500000</v>
      </c>
    </row>
    <row r="126" spans="1:5" x14ac:dyDescent="0.35">
      <c r="A126">
        <v>502794014</v>
      </c>
      <c r="B126" t="s">
        <v>1528</v>
      </c>
      <c r="C126" s="3">
        <v>105000000</v>
      </c>
      <c r="D126" s="1">
        <v>0.1</v>
      </c>
      <c r="E126" s="3">
        <v>94500000</v>
      </c>
    </row>
    <row r="127" spans="1:5" x14ac:dyDescent="0.35">
      <c r="A127">
        <v>502794023</v>
      </c>
      <c r="B127" t="s">
        <v>1529</v>
      </c>
      <c r="C127" s="3">
        <v>105000000</v>
      </c>
      <c r="D127" s="1">
        <v>0.1</v>
      </c>
      <c r="E127" s="3">
        <v>94500000</v>
      </c>
    </row>
    <row r="128" spans="1:5" x14ac:dyDescent="0.35">
      <c r="A128">
        <v>502794005</v>
      </c>
      <c r="B128" t="s">
        <v>1530</v>
      </c>
      <c r="C128" s="3">
        <v>105000000</v>
      </c>
      <c r="D128" s="1">
        <v>0.1</v>
      </c>
      <c r="E128" s="3">
        <v>94500000</v>
      </c>
    </row>
    <row r="129" spans="1:5" x14ac:dyDescent="0.35">
      <c r="A129">
        <v>502794010</v>
      </c>
      <c r="B129" t="s">
        <v>1531</v>
      </c>
      <c r="C129" s="3">
        <v>105000000</v>
      </c>
      <c r="D129" s="1">
        <v>0.1</v>
      </c>
      <c r="E129" s="3">
        <v>94500000</v>
      </c>
    </row>
    <row r="130" spans="1:5" x14ac:dyDescent="0.35">
      <c r="A130">
        <v>502794015</v>
      </c>
      <c r="B130" t="s">
        <v>1532</v>
      </c>
      <c r="C130" s="3">
        <v>105000000</v>
      </c>
      <c r="D130" s="1">
        <v>0.1</v>
      </c>
      <c r="E130" s="3">
        <v>94500000</v>
      </c>
    </row>
    <row r="131" spans="1:5" x14ac:dyDescent="0.35">
      <c r="A131">
        <v>502794024</v>
      </c>
      <c r="B131" t="s">
        <v>1533</v>
      </c>
      <c r="C131" s="3">
        <v>105000000</v>
      </c>
      <c r="D131" s="1">
        <v>0.1</v>
      </c>
      <c r="E131" s="3">
        <v>94500000</v>
      </c>
    </row>
    <row r="132" spans="1:5" x14ac:dyDescent="0.35">
      <c r="A132">
        <v>502794003</v>
      </c>
      <c r="B132" t="s">
        <v>1534</v>
      </c>
      <c r="C132" s="3">
        <v>105000000</v>
      </c>
      <c r="D132" s="1">
        <v>0.1</v>
      </c>
      <c r="E132" s="3">
        <v>94500000</v>
      </c>
    </row>
    <row r="133" spans="1:5" x14ac:dyDescent="0.35">
      <c r="A133">
        <v>502794008</v>
      </c>
      <c r="B133" t="s">
        <v>1535</v>
      </c>
      <c r="C133" s="3">
        <v>105000000</v>
      </c>
      <c r="D133" s="1">
        <v>0.1</v>
      </c>
      <c r="E133" s="3">
        <v>94500000</v>
      </c>
    </row>
    <row r="134" spans="1:5" x14ac:dyDescent="0.35">
      <c r="A134">
        <v>502794013</v>
      </c>
      <c r="B134" t="s">
        <v>1536</v>
      </c>
      <c r="C134" s="3">
        <v>105000000</v>
      </c>
      <c r="D134" s="1">
        <v>0.1</v>
      </c>
      <c r="E134" s="3">
        <v>94500000</v>
      </c>
    </row>
    <row r="135" spans="1:5" x14ac:dyDescent="0.35">
      <c r="A135">
        <v>502794022</v>
      </c>
      <c r="B135" t="s">
        <v>1537</v>
      </c>
      <c r="C135" s="3">
        <v>105000000</v>
      </c>
      <c r="D135" s="1">
        <v>0.1</v>
      </c>
      <c r="E135" s="3">
        <v>94500000</v>
      </c>
    </row>
    <row r="136" spans="1:5" x14ac:dyDescent="0.35">
      <c r="A136">
        <v>502794002</v>
      </c>
      <c r="B136" t="s">
        <v>1538</v>
      </c>
      <c r="C136" s="3">
        <v>105000000</v>
      </c>
      <c r="D136" s="1">
        <v>0.1</v>
      </c>
      <c r="E136" s="3">
        <v>94500000</v>
      </c>
    </row>
    <row r="137" spans="1:5" x14ac:dyDescent="0.35">
      <c r="A137">
        <v>502794007</v>
      </c>
      <c r="B137" t="s">
        <v>1539</v>
      </c>
      <c r="C137" s="3">
        <v>105000000</v>
      </c>
      <c r="D137" s="1">
        <v>0.1</v>
      </c>
      <c r="E137" s="3">
        <v>94500000</v>
      </c>
    </row>
    <row r="138" spans="1:5" x14ac:dyDescent="0.35">
      <c r="A138">
        <v>502794012</v>
      </c>
      <c r="B138" t="s">
        <v>1540</v>
      </c>
      <c r="C138" s="3">
        <v>105000000</v>
      </c>
      <c r="D138" s="1">
        <v>0.1</v>
      </c>
      <c r="E138" s="3">
        <v>94500000</v>
      </c>
    </row>
    <row r="139" spans="1:5" x14ac:dyDescent="0.35">
      <c r="A139">
        <v>502794021</v>
      </c>
      <c r="B139" t="s">
        <v>1541</v>
      </c>
      <c r="C139" s="3">
        <v>105000000</v>
      </c>
      <c r="D139" s="1">
        <v>0.1</v>
      </c>
      <c r="E139" s="3">
        <v>94500000</v>
      </c>
    </row>
    <row r="140" spans="1:5" x14ac:dyDescent="0.35">
      <c r="A140">
        <v>502794001</v>
      </c>
      <c r="B140" t="s">
        <v>1542</v>
      </c>
      <c r="C140" s="3">
        <v>105000000</v>
      </c>
      <c r="D140" s="1">
        <v>0.1</v>
      </c>
      <c r="E140" s="3">
        <v>94500000</v>
      </c>
    </row>
    <row r="141" spans="1:5" x14ac:dyDescent="0.35">
      <c r="A141">
        <v>502794006</v>
      </c>
      <c r="B141" t="s">
        <v>1543</v>
      </c>
      <c r="C141" s="3">
        <v>105000000</v>
      </c>
      <c r="D141" s="1">
        <v>0.1</v>
      </c>
      <c r="E141" s="3">
        <v>94500000</v>
      </c>
    </row>
    <row r="142" spans="1:5" x14ac:dyDescent="0.35">
      <c r="A142">
        <v>502794011</v>
      </c>
      <c r="B142" t="s">
        <v>1544</v>
      </c>
      <c r="C142" s="3">
        <v>105000000</v>
      </c>
      <c r="D142" s="1">
        <v>0.1</v>
      </c>
      <c r="E142" s="3">
        <v>94500000</v>
      </c>
    </row>
    <row r="143" spans="1:5" x14ac:dyDescent="0.35">
      <c r="A143">
        <v>502794020</v>
      </c>
      <c r="B143" t="s">
        <v>1545</v>
      </c>
      <c r="C143" s="3">
        <v>105000000</v>
      </c>
      <c r="D143" s="1">
        <v>0.1</v>
      </c>
      <c r="E143" s="3">
        <v>94500000</v>
      </c>
    </row>
    <row r="144" spans="1:5" x14ac:dyDescent="0.35">
      <c r="A144">
        <v>502794016</v>
      </c>
      <c r="B144" t="s">
        <v>1546</v>
      </c>
      <c r="C144" s="3">
        <v>105000000</v>
      </c>
      <c r="D144" s="1">
        <v>0.1</v>
      </c>
      <c r="E144" s="3">
        <v>94500000</v>
      </c>
    </row>
    <row r="145" spans="1:5" x14ac:dyDescent="0.35">
      <c r="A145">
        <v>502794017</v>
      </c>
      <c r="B145" t="s">
        <v>1547</v>
      </c>
      <c r="C145" s="3">
        <v>105000000</v>
      </c>
      <c r="D145" s="1">
        <v>0.1</v>
      </c>
      <c r="E145" s="3">
        <v>94500000</v>
      </c>
    </row>
    <row r="146" spans="1:5" x14ac:dyDescent="0.35">
      <c r="A146">
        <v>502794018</v>
      </c>
      <c r="B146" t="s">
        <v>1548</v>
      </c>
      <c r="C146" s="3">
        <v>105000000</v>
      </c>
      <c r="D146" s="1">
        <v>0.1</v>
      </c>
      <c r="E146" s="3">
        <v>94500000</v>
      </c>
    </row>
    <row r="147" spans="1:5" x14ac:dyDescent="0.35">
      <c r="A147">
        <v>502794019</v>
      </c>
      <c r="B147" t="s">
        <v>1549</v>
      </c>
      <c r="C147" s="3">
        <v>105000000</v>
      </c>
      <c r="D147" s="1">
        <v>0.1</v>
      </c>
      <c r="E147" s="3">
        <v>94500000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FA2A-23F2-4B55-AFC6-81FF1CD9053E}">
  <dimension ref="A1:I8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81640625" bestFit="1" customWidth="1"/>
    <col min="2" max="2" width="38.26953125" bestFit="1" customWidth="1"/>
    <col min="3" max="3" width="9" bestFit="1" customWidth="1"/>
    <col min="4" max="4" width="19.1796875" bestFit="1" customWidth="1"/>
    <col min="5" max="5" width="11.54296875" bestFit="1" customWidth="1"/>
    <col min="6" max="6" width="12.1796875" bestFit="1" customWidth="1"/>
    <col min="7" max="7" width="13.81640625" style="3" bestFit="1" customWidth="1"/>
    <col min="8" max="8" width="17.81640625" style="1" bestFit="1" customWidth="1"/>
    <col min="9" max="9" width="12.54296875" style="3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1550</v>
      </c>
      <c r="F1" s="2" t="s">
        <v>1551</v>
      </c>
      <c r="G1" s="20" t="s">
        <v>1552</v>
      </c>
      <c r="H1" s="21" t="s">
        <v>1553</v>
      </c>
      <c r="I1" s="20" t="s">
        <v>1554</v>
      </c>
    </row>
    <row r="2" spans="1:9" x14ac:dyDescent="0.35">
      <c r="A2">
        <v>735965001</v>
      </c>
      <c r="B2" t="s">
        <v>1555</v>
      </c>
      <c r="C2" t="s">
        <v>1556</v>
      </c>
      <c r="D2" t="s">
        <v>1557</v>
      </c>
      <c r="E2">
        <v>0</v>
      </c>
      <c r="F2">
        <v>1</v>
      </c>
      <c r="G2" s="3">
        <v>55000000</v>
      </c>
      <c r="H2" s="1">
        <v>0.1</v>
      </c>
      <c r="I2" s="3">
        <v>49500000</v>
      </c>
    </row>
    <row r="3" spans="1:9" x14ac:dyDescent="0.35">
      <c r="A3">
        <v>735966001</v>
      </c>
      <c r="B3" t="s">
        <v>1558</v>
      </c>
      <c r="C3" t="s">
        <v>1556</v>
      </c>
      <c r="D3" t="s">
        <v>1557</v>
      </c>
      <c r="E3">
        <v>1</v>
      </c>
      <c r="F3">
        <v>0</v>
      </c>
      <c r="G3" s="3">
        <v>70000000</v>
      </c>
      <c r="H3" s="1">
        <v>0.1</v>
      </c>
      <c r="I3" s="3">
        <v>63000000</v>
      </c>
    </row>
    <row r="4" spans="1:9" x14ac:dyDescent="0.35">
      <c r="A4">
        <v>737722003</v>
      </c>
      <c r="B4" t="s">
        <v>1559</v>
      </c>
      <c r="C4" t="s">
        <v>1556</v>
      </c>
      <c r="D4" t="s">
        <v>1557</v>
      </c>
      <c r="E4">
        <v>0</v>
      </c>
      <c r="F4">
        <v>1</v>
      </c>
      <c r="G4" s="3">
        <v>19000000</v>
      </c>
      <c r="H4" s="1">
        <v>0.1</v>
      </c>
      <c r="I4" s="3">
        <v>17100000</v>
      </c>
    </row>
    <row r="5" spans="1:9" x14ac:dyDescent="0.35">
      <c r="A5">
        <v>737722001</v>
      </c>
      <c r="B5" t="s">
        <v>1560</v>
      </c>
      <c r="C5" t="s">
        <v>1556</v>
      </c>
      <c r="D5" t="s">
        <v>1557</v>
      </c>
      <c r="E5">
        <v>0</v>
      </c>
      <c r="F5">
        <v>0</v>
      </c>
      <c r="G5" s="3">
        <v>19000000</v>
      </c>
      <c r="H5" s="1">
        <v>0.1</v>
      </c>
      <c r="I5" s="3">
        <v>17100000</v>
      </c>
    </row>
    <row r="6" spans="1:9" x14ac:dyDescent="0.35">
      <c r="A6">
        <v>737678003</v>
      </c>
      <c r="B6" t="s">
        <v>1561</v>
      </c>
      <c r="C6" t="s">
        <v>1556</v>
      </c>
      <c r="D6" t="s">
        <v>1557</v>
      </c>
      <c r="E6">
        <v>0</v>
      </c>
      <c r="F6">
        <v>0</v>
      </c>
      <c r="G6" s="3">
        <v>19000000</v>
      </c>
      <c r="H6" s="1">
        <v>0.1</v>
      </c>
      <c r="I6" s="3">
        <v>17100000</v>
      </c>
    </row>
    <row r="7" spans="1:9" x14ac:dyDescent="0.35">
      <c r="A7">
        <v>737678001</v>
      </c>
      <c r="B7" t="s">
        <v>1562</v>
      </c>
      <c r="C7" t="s">
        <v>1556</v>
      </c>
      <c r="D7" t="s">
        <v>1557</v>
      </c>
      <c r="E7">
        <v>2</v>
      </c>
      <c r="F7">
        <v>0</v>
      </c>
      <c r="G7" s="3">
        <v>19000000</v>
      </c>
      <c r="H7" s="1">
        <v>0.1</v>
      </c>
      <c r="I7" s="3">
        <v>17100000</v>
      </c>
    </row>
    <row r="8" spans="1:9" x14ac:dyDescent="0.35">
      <c r="A8">
        <v>737725003</v>
      </c>
      <c r="B8" t="s">
        <v>1563</v>
      </c>
      <c r="C8" t="s">
        <v>1556</v>
      </c>
      <c r="D8" t="s">
        <v>1557</v>
      </c>
      <c r="E8">
        <v>1</v>
      </c>
      <c r="F8">
        <v>0</v>
      </c>
      <c r="G8" s="3">
        <v>24000000</v>
      </c>
      <c r="H8" s="1">
        <v>0.1</v>
      </c>
      <c r="I8" s="3">
        <v>21600000</v>
      </c>
    </row>
    <row r="9" spans="1:9" x14ac:dyDescent="0.35">
      <c r="A9">
        <v>737725004</v>
      </c>
      <c r="B9" t="s">
        <v>1564</v>
      </c>
      <c r="C9" t="s">
        <v>1556</v>
      </c>
      <c r="D9" t="s">
        <v>1557</v>
      </c>
      <c r="E9">
        <v>0</v>
      </c>
      <c r="F9">
        <v>0</v>
      </c>
      <c r="G9" s="3">
        <v>24000000</v>
      </c>
      <c r="H9" s="1">
        <v>0.1</v>
      </c>
      <c r="I9" s="3">
        <v>21600000</v>
      </c>
    </row>
    <row r="10" spans="1:9" x14ac:dyDescent="0.35">
      <c r="A10">
        <v>737725002</v>
      </c>
      <c r="B10" t="s">
        <v>1565</v>
      </c>
      <c r="C10" t="s">
        <v>1556</v>
      </c>
      <c r="D10" t="s">
        <v>1557</v>
      </c>
      <c r="E10">
        <v>2</v>
      </c>
      <c r="F10">
        <v>0</v>
      </c>
      <c r="G10" s="3">
        <v>24000000</v>
      </c>
      <c r="H10" s="1">
        <v>0.1</v>
      </c>
      <c r="I10" s="3">
        <v>21600000</v>
      </c>
    </row>
    <row r="11" spans="1:9" x14ac:dyDescent="0.35">
      <c r="A11">
        <v>737725001</v>
      </c>
      <c r="B11" t="s">
        <v>1566</v>
      </c>
      <c r="C11" t="s">
        <v>1556</v>
      </c>
      <c r="D11" t="s">
        <v>1557</v>
      </c>
      <c r="E11">
        <v>0</v>
      </c>
      <c r="F11">
        <v>0</v>
      </c>
      <c r="G11" s="3">
        <v>24000000</v>
      </c>
      <c r="H11" s="1">
        <v>0.1</v>
      </c>
      <c r="I11" s="3">
        <v>21600000</v>
      </c>
    </row>
    <row r="12" spans="1:9" x14ac:dyDescent="0.35">
      <c r="A12">
        <v>732423003</v>
      </c>
      <c r="B12" t="s">
        <v>1567</v>
      </c>
      <c r="C12" t="s">
        <v>1556</v>
      </c>
      <c r="D12" t="s">
        <v>1568</v>
      </c>
      <c r="E12">
        <v>0</v>
      </c>
      <c r="F12">
        <v>2</v>
      </c>
      <c r="G12" s="3">
        <v>15000000</v>
      </c>
      <c r="H12" s="1">
        <v>0.1</v>
      </c>
      <c r="I12" s="3">
        <v>13500000</v>
      </c>
    </row>
    <row r="13" spans="1:9" x14ac:dyDescent="0.35">
      <c r="A13">
        <v>732423002</v>
      </c>
      <c r="B13" t="s">
        <v>1569</v>
      </c>
      <c r="C13" t="s">
        <v>1556</v>
      </c>
      <c r="D13" t="s">
        <v>1568</v>
      </c>
      <c r="E13">
        <v>0</v>
      </c>
      <c r="F13">
        <v>2</v>
      </c>
      <c r="G13" s="3">
        <v>15000000</v>
      </c>
      <c r="H13" s="1">
        <v>0.1</v>
      </c>
      <c r="I13" s="3">
        <v>13500000</v>
      </c>
    </row>
    <row r="14" spans="1:9" x14ac:dyDescent="0.35">
      <c r="A14">
        <v>733961001</v>
      </c>
      <c r="B14" t="s">
        <v>1570</v>
      </c>
      <c r="C14" t="s">
        <v>1556</v>
      </c>
      <c r="D14" t="s">
        <v>1568</v>
      </c>
      <c r="E14">
        <v>0</v>
      </c>
      <c r="F14">
        <v>4</v>
      </c>
      <c r="G14" s="3">
        <v>19000000</v>
      </c>
      <c r="H14" s="1">
        <v>0.1</v>
      </c>
      <c r="I14" s="3">
        <v>17100000</v>
      </c>
    </row>
    <row r="15" spans="1:9" x14ac:dyDescent="0.35">
      <c r="A15">
        <v>730120002</v>
      </c>
      <c r="B15" t="s">
        <v>1571</v>
      </c>
      <c r="C15" t="s">
        <v>1556</v>
      </c>
      <c r="D15" t="s">
        <v>1572</v>
      </c>
      <c r="E15">
        <v>0</v>
      </c>
      <c r="F15">
        <v>1</v>
      </c>
      <c r="G15" s="3">
        <v>15000000</v>
      </c>
      <c r="H15" s="1">
        <v>0.5</v>
      </c>
      <c r="I15" s="3">
        <v>7500000</v>
      </c>
    </row>
    <row r="16" spans="1:9" x14ac:dyDescent="0.35">
      <c r="A16">
        <v>730121003</v>
      </c>
      <c r="B16" t="s">
        <v>1573</v>
      </c>
      <c r="C16" t="s">
        <v>1556</v>
      </c>
      <c r="D16" t="s">
        <v>1572</v>
      </c>
      <c r="E16">
        <v>0</v>
      </c>
      <c r="F16">
        <v>1</v>
      </c>
      <c r="G16" s="3">
        <v>39000000</v>
      </c>
      <c r="H16" s="1">
        <v>0.5</v>
      </c>
      <c r="I16" s="3">
        <v>19500000</v>
      </c>
    </row>
    <row r="17" spans="1:9" x14ac:dyDescent="0.35">
      <c r="A17">
        <v>730121002</v>
      </c>
      <c r="B17" t="s">
        <v>1574</v>
      </c>
      <c r="C17" t="s">
        <v>1556</v>
      </c>
      <c r="D17" t="s">
        <v>1572</v>
      </c>
      <c r="E17">
        <v>0</v>
      </c>
      <c r="F17">
        <v>3</v>
      </c>
      <c r="G17" s="3">
        <v>39000000</v>
      </c>
      <c r="H17" s="1">
        <v>0.5</v>
      </c>
      <c r="I17" s="3">
        <v>19500000</v>
      </c>
    </row>
    <row r="18" spans="1:9" x14ac:dyDescent="0.35">
      <c r="A18">
        <v>730121001</v>
      </c>
      <c r="B18" t="s">
        <v>1575</v>
      </c>
      <c r="C18" t="s">
        <v>1556</v>
      </c>
      <c r="D18" t="s">
        <v>1572</v>
      </c>
      <c r="E18">
        <v>0</v>
      </c>
      <c r="F18">
        <v>5</v>
      </c>
      <c r="G18" s="3">
        <v>39000000</v>
      </c>
      <c r="H18" s="1">
        <v>0.5</v>
      </c>
      <c r="I18" s="3">
        <v>19500000</v>
      </c>
    </row>
    <row r="19" spans="1:9" x14ac:dyDescent="0.35">
      <c r="A19">
        <v>732424002</v>
      </c>
      <c r="B19" t="s">
        <v>1576</v>
      </c>
      <c r="C19" t="s">
        <v>1556</v>
      </c>
      <c r="D19" t="s">
        <v>1577</v>
      </c>
      <c r="E19">
        <v>0</v>
      </c>
      <c r="F19">
        <v>2</v>
      </c>
      <c r="G19" s="3">
        <v>11500000</v>
      </c>
      <c r="H19" s="1">
        <v>0.1</v>
      </c>
      <c r="I19" s="3">
        <v>10350000</v>
      </c>
    </row>
    <row r="20" spans="1:9" x14ac:dyDescent="0.35">
      <c r="A20">
        <v>732425002</v>
      </c>
      <c r="B20" t="s">
        <v>1578</v>
      </c>
      <c r="C20" t="s">
        <v>1556</v>
      </c>
      <c r="D20" t="s">
        <v>1577</v>
      </c>
      <c r="E20">
        <v>1</v>
      </c>
      <c r="F20">
        <v>0</v>
      </c>
      <c r="G20" s="3">
        <v>11500000</v>
      </c>
      <c r="H20" s="1">
        <v>0.1</v>
      </c>
      <c r="I20" s="3">
        <v>10350000</v>
      </c>
    </row>
    <row r="21" spans="1:9" x14ac:dyDescent="0.35">
      <c r="A21">
        <v>732425001</v>
      </c>
      <c r="B21" t="s">
        <v>1579</v>
      </c>
      <c r="C21" t="s">
        <v>1556</v>
      </c>
      <c r="D21" t="s">
        <v>1577</v>
      </c>
      <c r="E21">
        <v>1</v>
      </c>
      <c r="F21">
        <v>0</v>
      </c>
      <c r="G21" s="3">
        <v>11500000</v>
      </c>
      <c r="H21" s="1">
        <v>0.1</v>
      </c>
      <c r="I21" s="3">
        <v>10350000</v>
      </c>
    </row>
    <row r="22" spans="1:9" x14ac:dyDescent="0.35">
      <c r="A22">
        <v>732427001</v>
      </c>
      <c r="B22" t="s">
        <v>1580</v>
      </c>
      <c r="C22" t="s">
        <v>1556</v>
      </c>
      <c r="D22" t="s">
        <v>1577</v>
      </c>
      <c r="E22">
        <v>3</v>
      </c>
      <c r="F22">
        <v>9</v>
      </c>
      <c r="G22" s="3">
        <v>13500000</v>
      </c>
      <c r="H22" s="1">
        <v>0.1</v>
      </c>
      <c r="I22" s="3">
        <v>12150000</v>
      </c>
    </row>
    <row r="23" spans="1:9" x14ac:dyDescent="0.35">
      <c r="A23">
        <v>732427002</v>
      </c>
      <c r="B23" t="s">
        <v>1581</v>
      </c>
      <c r="C23" t="s">
        <v>1556</v>
      </c>
      <c r="D23" t="s">
        <v>1577</v>
      </c>
      <c r="E23">
        <v>3</v>
      </c>
      <c r="F23">
        <v>10</v>
      </c>
      <c r="G23" s="3">
        <v>13500000</v>
      </c>
      <c r="H23" s="1">
        <v>0.1</v>
      </c>
      <c r="I23" s="3">
        <v>12150000</v>
      </c>
    </row>
    <row r="24" spans="1:9" x14ac:dyDescent="0.35">
      <c r="A24">
        <v>732427003</v>
      </c>
      <c r="B24" t="s">
        <v>1582</v>
      </c>
      <c r="C24" t="s">
        <v>1556</v>
      </c>
      <c r="D24" t="s">
        <v>1577</v>
      </c>
      <c r="E24">
        <v>0</v>
      </c>
      <c r="F24">
        <v>2</v>
      </c>
      <c r="G24" s="3">
        <v>13500000</v>
      </c>
      <c r="H24" s="1">
        <v>0.1</v>
      </c>
      <c r="I24" s="3">
        <v>12150000</v>
      </c>
    </row>
    <row r="25" spans="1:9" x14ac:dyDescent="0.35">
      <c r="A25">
        <v>732428001</v>
      </c>
      <c r="B25" t="s">
        <v>1583</v>
      </c>
      <c r="C25" t="s">
        <v>1556</v>
      </c>
      <c r="D25" t="s">
        <v>1577</v>
      </c>
      <c r="E25">
        <v>0</v>
      </c>
      <c r="F25">
        <v>1</v>
      </c>
      <c r="G25" s="3">
        <v>15500000</v>
      </c>
      <c r="H25" s="1">
        <v>0.1</v>
      </c>
      <c r="I25" s="3">
        <v>13950000</v>
      </c>
    </row>
    <row r="26" spans="1:9" x14ac:dyDescent="0.35">
      <c r="A26">
        <v>732428002</v>
      </c>
      <c r="B26" t="s">
        <v>1584</v>
      </c>
      <c r="C26" t="s">
        <v>1556</v>
      </c>
      <c r="D26" t="s">
        <v>1577</v>
      </c>
      <c r="E26">
        <v>0</v>
      </c>
      <c r="F26">
        <v>1</v>
      </c>
      <c r="G26" s="3">
        <v>15500000</v>
      </c>
      <c r="H26" s="1">
        <v>0.1</v>
      </c>
      <c r="I26" s="3">
        <v>13950000</v>
      </c>
    </row>
    <row r="27" spans="1:9" x14ac:dyDescent="0.35">
      <c r="A27">
        <v>733962001</v>
      </c>
      <c r="B27" t="s">
        <v>1585</v>
      </c>
      <c r="C27" t="s">
        <v>1556</v>
      </c>
      <c r="D27" t="s">
        <v>1577</v>
      </c>
      <c r="E27">
        <v>0</v>
      </c>
      <c r="F27">
        <v>2</v>
      </c>
      <c r="G27" s="3">
        <v>19000000</v>
      </c>
      <c r="H27" s="1">
        <v>0.1</v>
      </c>
      <c r="I27" s="3">
        <v>17100000</v>
      </c>
    </row>
    <row r="28" spans="1:9" x14ac:dyDescent="0.35">
      <c r="A28">
        <v>733962002</v>
      </c>
      <c r="B28" t="s">
        <v>1586</v>
      </c>
      <c r="C28" t="s">
        <v>1556</v>
      </c>
      <c r="D28" t="s">
        <v>1577</v>
      </c>
      <c r="E28">
        <v>0</v>
      </c>
      <c r="F28">
        <v>6</v>
      </c>
      <c r="G28" s="3">
        <v>19000000</v>
      </c>
      <c r="H28" s="1">
        <v>0.1</v>
      </c>
      <c r="I28" s="3">
        <v>17100000</v>
      </c>
    </row>
    <row r="29" spans="1:9" x14ac:dyDescent="0.35">
      <c r="A29">
        <v>733962003</v>
      </c>
      <c r="B29" t="s">
        <v>1587</v>
      </c>
      <c r="C29" t="s">
        <v>1556</v>
      </c>
      <c r="D29" t="s">
        <v>1577</v>
      </c>
      <c r="E29">
        <v>0</v>
      </c>
      <c r="F29">
        <v>2</v>
      </c>
      <c r="G29" s="3">
        <v>19000000</v>
      </c>
      <c r="H29" s="1">
        <v>0.1</v>
      </c>
      <c r="I29" s="3">
        <v>17100000</v>
      </c>
    </row>
    <row r="30" spans="1:9" x14ac:dyDescent="0.35">
      <c r="A30">
        <v>733962005</v>
      </c>
      <c r="B30" t="s">
        <v>1588</v>
      </c>
      <c r="C30" t="s">
        <v>1556</v>
      </c>
      <c r="D30" t="s">
        <v>1577</v>
      </c>
      <c r="E30">
        <v>0</v>
      </c>
      <c r="F30">
        <v>1</v>
      </c>
      <c r="G30" s="3">
        <v>19000000</v>
      </c>
      <c r="H30" s="1">
        <v>0.1</v>
      </c>
      <c r="I30" s="3">
        <v>17100000</v>
      </c>
    </row>
    <row r="31" spans="1:9" x14ac:dyDescent="0.35">
      <c r="A31">
        <v>732426002</v>
      </c>
      <c r="B31" t="s">
        <v>1589</v>
      </c>
      <c r="C31" t="s">
        <v>1556</v>
      </c>
      <c r="D31" t="s">
        <v>1577</v>
      </c>
      <c r="E31">
        <v>0</v>
      </c>
      <c r="F31">
        <v>1</v>
      </c>
      <c r="G31" s="3">
        <v>9500000</v>
      </c>
      <c r="H31" s="1">
        <v>0.1</v>
      </c>
      <c r="I31" s="3">
        <v>8550000</v>
      </c>
    </row>
    <row r="32" spans="1:9" x14ac:dyDescent="0.35">
      <c r="A32">
        <v>732429001</v>
      </c>
      <c r="B32" t="s">
        <v>1590</v>
      </c>
      <c r="C32" t="s">
        <v>1556</v>
      </c>
      <c r="D32" t="s">
        <v>1577</v>
      </c>
      <c r="E32">
        <v>0</v>
      </c>
      <c r="F32">
        <v>8</v>
      </c>
      <c r="G32" s="3">
        <v>15000000</v>
      </c>
      <c r="H32" s="1">
        <v>0.1</v>
      </c>
      <c r="I32" s="3">
        <v>13500000</v>
      </c>
    </row>
    <row r="33" spans="1:9" x14ac:dyDescent="0.35">
      <c r="A33">
        <v>732429002</v>
      </c>
      <c r="B33" t="s">
        <v>1591</v>
      </c>
      <c r="C33" t="s">
        <v>1556</v>
      </c>
      <c r="D33" t="s">
        <v>1577</v>
      </c>
      <c r="E33">
        <v>0</v>
      </c>
      <c r="F33">
        <v>8</v>
      </c>
      <c r="G33" s="3">
        <v>15000000</v>
      </c>
      <c r="H33" s="1">
        <v>0.1</v>
      </c>
      <c r="I33" s="3">
        <v>13500000</v>
      </c>
    </row>
    <row r="34" spans="1:9" x14ac:dyDescent="0.35">
      <c r="A34">
        <v>732429003</v>
      </c>
      <c r="B34" t="s">
        <v>1592</v>
      </c>
      <c r="C34" t="s">
        <v>1556</v>
      </c>
      <c r="D34" t="s">
        <v>1577</v>
      </c>
      <c r="E34">
        <v>0</v>
      </c>
      <c r="F34">
        <v>5</v>
      </c>
      <c r="G34" s="3">
        <v>15000000</v>
      </c>
      <c r="H34" s="1">
        <v>0.1</v>
      </c>
      <c r="I34" s="3">
        <v>13500000</v>
      </c>
    </row>
    <row r="35" spans="1:9" x14ac:dyDescent="0.35">
      <c r="A35">
        <v>736046002</v>
      </c>
      <c r="B35" t="s">
        <v>1593</v>
      </c>
      <c r="C35" t="s">
        <v>1556</v>
      </c>
      <c r="D35" t="s">
        <v>1577</v>
      </c>
      <c r="E35">
        <v>2</v>
      </c>
      <c r="F35">
        <v>1</v>
      </c>
      <c r="G35" s="3">
        <v>16000000</v>
      </c>
      <c r="H35" s="1">
        <v>0.1</v>
      </c>
      <c r="I35" s="3">
        <v>14400000</v>
      </c>
    </row>
    <row r="36" spans="1:9" x14ac:dyDescent="0.35">
      <c r="A36">
        <v>736046001</v>
      </c>
      <c r="B36" t="s">
        <v>1594</v>
      </c>
      <c r="C36" t="s">
        <v>1556</v>
      </c>
      <c r="D36" t="s">
        <v>1577</v>
      </c>
      <c r="E36">
        <v>2</v>
      </c>
      <c r="F36">
        <v>0</v>
      </c>
      <c r="G36" s="3">
        <v>16000000</v>
      </c>
      <c r="H36" s="1">
        <v>0.1</v>
      </c>
      <c r="I36" s="3">
        <v>14400000</v>
      </c>
    </row>
    <row r="37" spans="1:9" x14ac:dyDescent="0.35">
      <c r="A37">
        <v>732430001</v>
      </c>
      <c r="B37" t="s">
        <v>1595</v>
      </c>
      <c r="C37" t="s">
        <v>1556</v>
      </c>
      <c r="D37" t="s">
        <v>1577</v>
      </c>
      <c r="E37">
        <v>4</v>
      </c>
      <c r="F37">
        <v>8</v>
      </c>
      <c r="G37" s="3">
        <v>29000000</v>
      </c>
      <c r="H37" s="1">
        <v>0.1</v>
      </c>
      <c r="I37" s="3">
        <v>26100000</v>
      </c>
    </row>
    <row r="38" spans="1:9" x14ac:dyDescent="0.35">
      <c r="A38">
        <v>732430002</v>
      </c>
      <c r="B38" t="s">
        <v>1596</v>
      </c>
      <c r="C38" t="s">
        <v>1556</v>
      </c>
      <c r="D38" t="s">
        <v>1577</v>
      </c>
      <c r="E38">
        <v>0</v>
      </c>
      <c r="F38">
        <v>3</v>
      </c>
      <c r="G38" s="3">
        <v>29000000</v>
      </c>
      <c r="H38" s="1">
        <v>0.1</v>
      </c>
      <c r="I38" s="3">
        <v>26100000</v>
      </c>
    </row>
    <row r="39" spans="1:9" x14ac:dyDescent="0.35">
      <c r="A39">
        <v>732430003</v>
      </c>
      <c r="B39" t="s">
        <v>1597</v>
      </c>
      <c r="C39" t="s">
        <v>1556</v>
      </c>
      <c r="D39" t="s">
        <v>1577</v>
      </c>
      <c r="E39">
        <v>2</v>
      </c>
      <c r="F39">
        <v>4</v>
      </c>
      <c r="G39" s="3">
        <v>29000000</v>
      </c>
      <c r="H39" s="1">
        <v>0.1</v>
      </c>
      <c r="I39" s="3">
        <v>26100000</v>
      </c>
    </row>
    <row r="40" spans="1:9" x14ac:dyDescent="0.35">
      <c r="A40">
        <v>736047002</v>
      </c>
      <c r="B40" t="s">
        <v>1598</v>
      </c>
      <c r="C40" t="s">
        <v>1556</v>
      </c>
      <c r="D40" t="s">
        <v>1577</v>
      </c>
      <c r="E40">
        <v>4</v>
      </c>
      <c r="F40">
        <v>0</v>
      </c>
      <c r="G40" s="3">
        <v>30000000</v>
      </c>
      <c r="H40" s="1">
        <v>0.1</v>
      </c>
      <c r="I40" s="3">
        <v>27000000</v>
      </c>
    </row>
    <row r="41" spans="1:9" x14ac:dyDescent="0.35">
      <c r="A41">
        <v>736047001</v>
      </c>
      <c r="B41" t="s">
        <v>1599</v>
      </c>
      <c r="C41" t="s">
        <v>1556</v>
      </c>
      <c r="D41" t="s">
        <v>1577</v>
      </c>
      <c r="E41">
        <v>2</v>
      </c>
      <c r="F41">
        <v>2</v>
      </c>
      <c r="G41" s="3">
        <v>30000000</v>
      </c>
      <c r="H41" s="1">
        <v>0.1</v>
      </c>
      <c r="I41" s="3">
        <v>27000000</v>
      </c>
    </row>
    <row r="42" spans="1:9" x14ac:dyDescent="0.35">
      <c r="A42">
        <v>732431001</v>
      </c>
      <c r="B42" t="s">
        <v>1600</v>
      </c>
      <c r="C42" t="s">
        <v>1556</v>
      </c>
      <c r="D42" t="s">
        <v>1577</v>
      </c>
      <c r="E42">
        <v>0</v>
      </c>
      <c r="F42">
        <v>1</v>
      </c>
      <c r="G42" s="3">
        <v>31500000</v>
      </c>
      <c r="H42" s="1">
        <v>0.1</v>
      </c>
      <c r="I42" s="3">
        <v>28350000</v>
      </c>
    </row>
    <row r="43" spans="1:9" x14ac:dyDescent="0.35">
      <c r="A43">
        <v>732431002</v>
      </c>
      <c r="B43" t="s">
        <v>1601</v>
      </c>
      <c r="C43" t="s">
        <v>1556</v>
      </c>
      <c r="D43" t="s">
        <v>1577</v>
      </c>
      <c r="E43">
        <v>0</v>
      </c>
      <c r="F43">
        <v>8</v>
      </c>
      <c r="G43" s="3">
        <v>31500000</v>
      </c>
      <c r="H43" s="1">
        <v>0.1</v>
      </c>
      <c r="I43" s="3">
        <v>28350000</v>
      </c>
    </row>
    <row r="44" spans="1:9" x14ac:dyDescent="0.35">
      <c r="A44">
        <v>737570001</v>
      </c>
      <c r="B44" t="s">
        <v>1602</v>
      </c>
      <c r="C44" t="s">
        <v>1556</v>
      </c>
      <c r="D44" t="s">
        <v>1577</v>
      </c>
      <c r="E44">
        <v>1</v>
      </c>
      <c r="F44">
        <v>0</v>
      </c>
      <c r="G44" s="3">
        <v>31500000</v>
      </c>
      <c r="H44" s="1">
        <v>0.1</v>
      </c>
      <c r="I44" s="3">
        <v>28350000</v>
      </c>
    </row>
    <row r="45" spans="1:9" x14ac:dyDescent="0.35">
      <c r="A45">
        <v>737570002</v>
      </c>
      <c r="B45" t="s">
        <v>1603</v>
      </c>
      <c r="C45" t="s">
        <v>1556</v>
      </c>
      <c r="D45" t="s">
        <v>1577</v>
      </c>
      <c r="E45">
        <v>0</v>
      </c>
      <c r="F45">
        <v>3</v>
      </c>
      <c r="G45" s="3">
        <v>31500000</v>
      </c>
      <c r="H45" s="1">
        <v>0.1</v>
      </c>
      <c r="I45" s="3">
        <v>28350000</v>
      </c>
    </row>
    <row r="46" spans="1:9" x14ac:dyDescent="0.35">
      <c r="A46">
        <v>737570003</v>
      </c>
      <c r="B46" t="s">
        <v>1604</v>
      </c>
      <c r="C46" t="s">
        <v>1556</v>
      </c>
      <c r="D46" t="s">
        <v>1577</v>
      </c>
      <c r="E46">
        <v>1</v>
      </c>
      <c r="F46">
        <v>2</v>
      </c>
      <c r="G46" s="3">
        <v>31500000</v>
      </c>
      <c r="H46" s="1">
        <v>0.1</v>
      </c>
      <c r="I46" s="3">
        <v>28350000</v>
      </c>
    </row>
    <row r="47" spans="1:9" x14ac:dyDescent="0.35">
      <c r="A47">
        <v>733963001</v>
      </c>
      <c r="B47" t="s">
        <v>1605</v>
      </c>
      <c r="C47" t="s">
        <v>1556</v>
      </c>
      <c r="D47" t="s">
        <v>1577</v>
      </c>
      <c r="E47">
        <v>0</v>
      </c>
      <c r="F47">
        <v>3</v>
      </c>
      <c r="G47" s="3">
        <v>38500000</v>
      </c>
      <c r="H47" s="1">
        <v>0.1</v>
      </c>
      <c r="I47" s="3">
        <v>34650000</v>
      </c>
    </row>
    <row r="48" spans="1:9" x14ac:dyDescent="0.35">
      <c r="A48">
        <v>733963002</v>
      </c>
      <c r="B48" t="s">
        <v>1606</v>
      </c>
      <c r="C48" t="s">
        <v>1556</v>
      </c>
      <c r="D48" t="s">
        <v>1577</v>
      </c>
      <c r="E48">
        <v>5</v>
      </c>
      <c r="F48">
        <v>0</v>
      </c>
      <c r="G48" s="3">
        <v>38500000</v>
      </c>
      <c r="H48" s="1">
        <v>0.1</v>
      </c>
      <c r="I48" s="3">
        <v>34650000</v>
      </c>
    </row>
    <row r="49" spans="1:9" x14ac:dyDescent="0.35">
      <c r="A49">
        <v>733963003</v>
      </c>
      <c r="B49" t="s">
        <v>1607</v>
      </c>
      <c r="C49" t="s">
        <v>1556</v>
      </c>
      <c r="D49" t="s">
        <v>1577</v>
      </c>
      <c r="E49">
        <v>0</v>
      </c>
      <c r="F49">
        <v>3</v>
      </c>
      <c r="G49" s="3">
        <v>38500000</v>
      </c>
      <c r="H49" s="1">
        <v>0.1</v>
      </c>
      <c r="I49" s="3">
        <v>34650000</v>
      </c>
    </row>
    <row r="50" spans="1:9" x14ac:dyDescent="0.35">
      <c r="A50">
        <v>737572002</v>
      </c>
      <c r="B50" t="s">
        <v>1608</v>
      </c>
      <c r="C50" t="s">
        <v>1556</v>
      </c>
      <c r="D50" t="s">
        <v>1577</v>
      </c>
      <c r="E50">
        <v>0</v>
      </c>
      <c r="F50">
        <v>3</v>
      </c>
      <c r="G50" s="3">
        <v>38500000</v>
      </c>
      <c r="H50" s="1">
        <v>0.1</v>
      </c>
      <c r="I50" s="3">
        <v>34650000</v>
      </c>
    </row>
    <row r="51" spans="1:9" x14ac:dyDescent="0.35">
      <c r="A51">
        <v>737572003</v>
      </c>
      <c r="B51" t="s">
        <v>1609</v>
      </c>
      <c r="C51" t="s">
        <v>1556</v>
      </c>
      <c r="D51" t="s">
        <v>1577</v>
      </c>
      <c r="E51">
        <v>1</v>
      </c>
      <c r="F51">
        <v>2</v>
      </c>
      <c r="G51" s="3">
        <v>38500000</v>
      </c>
      <c r="H51" s="1">
        <v>0.1</v>
      </c>
      <c r="I51" s="3">
        <v>34650000</v>
      </c>
    </row>
    <row r="52" spans="1:9" x14ac:dyDescent="0.35">
      <c r="A52">
        <v>730150001</v>
      </c>
      <c r="B52" t="s">
        <v>1610</v>
      </c>
      <c r="C52" t="s">
        <v>1556</v>
      </c>
      <c r="D52" t="s">
        <v>1577</v>
      </c>
      <c r="E52">
        <v>0</v>
      </c>
      <c r="F52">
        <v>11</v>
      </c>
      <c r="G52" s="3">
        <v>19000000</v>
      </c>
      <c r="H52" s="1">
        <v>0.1</v>
      </c>
      <c r="I52" s="3">
        <v>17100000</v>
      </c>
    </row>
    <row r="53" spans="1:9" x14ac:dyDescent="0.35">
      <c r="A53">
        <v>730150002</v>
      </c>
      <c r="B53" t="s">
        <v>1611</v>
      </c>
      <c r="C53" t="s">
        <v>1556</v>
      </c>
      <c r="D53" t="s">
        <v>1577</v>
      </c>
      <c r="E53">
        <v>0</v>
      </c>
      <c r="F53">
        <v>4</v>
      </c>
      <c r="G53" s="3">
        <v>19000000</v>
      </c>
      <c r="H53" s="1">
        <v>0.1</v>
      </c>
      <c r="I53" s="3">
        <v>17100000</v>
      </c>
    </row>
    <row r="54" spans="1:9" x14ac:dyDescent="0.35">
      <c r="A54">
        <v>730154001</v>
      </c>
      <c r="B54" t="s">
        <v>1612</v>
      </c>
      <c r="C54" t="s">
        <v>1556</v>
      </c>
      <c r="D54" t="s">
        <v>1577</v>
      </c>
      <c r="E54">
        <v>0</v>
      </c>
      <c r="F54">
        <v>2</v>
      </c>
      <c r="G54" s="3">
        <v>9000000</v>
      </c>
      <c r="H54" s="1">
        <v>0.1</v>
      </c>
      <c r="I54" s="3">
        <v>8100000</v>
      </c>
    </row>
    <row r="55" spans="1:9" x14ac:dyDescent="0.35">
      <c r="A55">
        <v>730154002</v>
      </c>
      <c r="B55" t="s">
        <v>1613</v>
      </c>
      <c r="C55" t="s">
        <v>1556</v>
      </c>
      <c r="D55" t="s">
        <v>1577</v>
      </c>
      <c r="E55">
        <v>0</v>
      </c>
      <c r="F55">
        <v>6</v>
      </c>
      <c r="G55" s="3">
        <v>9000000</v>
      </c>
      <c r="H55" s="1">
        <v>0.1</v>
      </c>
      <c r="I55" s="3">
        <v>8100000</v>
      </c>
    </row>
    <row r="56" spans="1:9" x14ac:dyDescent="0.35">
      <c r="A56">
        <v>730154003</v>
      </c>
      <c r="B56" t="s">
        <v>1614</v>
      </c>
      <c r="C56" t="s">
        <v>1556</v>
      </c>
      <c r="D56" t="s">
        <v>1577</v>
      </c>
      <c r="E56">
        <v>0</v>
      </c>
      <c r="F56">
        <v>1</v>
      </c>
      <c r="G56" s="3">
        <v>9000000</v>
      </c>
      <c r="H56" s="1">
        <v>0.1</v>
      </c>
      <c r="I56" s="3">
        <v>8100000</v>
      </c>
    </row>
    <row r="57" spans="1:9" x14ac:dyDescent="0.35">
      <c r="A57">
        <v>730154004</v>
      </c>
      <c r="B57" t="s">
        <v>1615</v>
      </c>
      <c r="C57" t="s">
        <v>1556</v>
      </c>
      <c r="D57" t="s">
        <v>1577</v>
      </c>
      <c r="E57">
        <v>0</v>
      </c>
      <c r="F57">
        <v>1</v>
      </c>
      <c r="G57" s="3">
        <v>9000000</v>
      </c>
      <c r="H57" s="1">
        <v>0.1</v>
      </c>
      <c r="I57" s="3">
        <v>8100000</v>
      </c>
    </row>
    <row r="58" spans="1:9" x14ac:dyDescent="0.35">
      <c r="A58">
        <v>732432001</v>
      </c>
      <c r="B58" t="s">
        <v>1616</v>
      </c>
      <c r="C58" t="s">
        <v>1556</v>
      </c>
      <c r="D58" t="s">
        <v>1577</v>
      </c>
      <c r="E58">
        <v>1</v>
      </c>
      <c r="F58">
        <v>0</v>
      </c>
      <c r="G58" s="3">
        <v>9000000</v>
      </c>
      <c r="H58" s="1">
        <v>0.1</v>
      </c>
      <c r="I58" s="3">
        <v>8100000</v>
      </c>
    </row>
    <row r="59" spans="1:9" x14ac:dyDescent="0.35">
      <c r="A59">
        <v>732432002</v>
      </c>
      <c r="B59" t="s">
        <v>1617</v>
      </c>
      <c r="C59" t="s">
        <v>1556</v>
      </c>
      <c r="D59" t="s">
        <v>1577</v>
      </c>
      <c r="E59">
        <v>0</v>
      </c>
      <c r="F59">
        <v>4</v>
      </c>
      <c r="G59" s="3">
        <v>9000000</v>
      </c>
      <c r="H59" s="1">
        <v>0.1</v>
      </c>
      <c r="I59" s="3">
        <v>8100000</v>
      </c>
    </row>
    <row r="60" spans="1:9" x14ac:dyDescent="0.35">
      <c r="A60">
        <v>730153002</v>
      </c>
      <c r="B60" t="s">
        <v>1618</v>
      </c>
      <c r="C60" t="s">
        <v>1556</v>
      </c>
      <c r="D60" t="s">
        <v>1577</v>
      </c>
      <c r="E60">
        <v>0</v>
      </c>
      <c r="F60">
        <v>3</v>
      </c>
      <c r="G60" s="3">
        <v>11500000</v>
      </c>
      <c r="H60" s="1">
        <v>0.1</v>
      </c>
      <c r="I60" s="3">
        <v>10350000</v>
      </c>
    </row>
    <row r="61" spans="1:9" x14ac:dyDescent="0.35">
      <c r="A61">
        <v>730153003</v>
      </c>
      <c r="B61" t="s">
        <v>1619</v>
      </c>
      <c r="C61" t="s">
        <v>1556</v>
      </c>
      <c r="D61" t="s">
        <v>1577</v>
      </c>
      <c r="E61">
        <v>0</v>
      </c>
      <c r="F61">
        <v>2</v>
      </c>
      <c r="G61" s="3">
        <v>11500000</v>
      </c>
      <c r="H61" s="1">
        <v>0.1</v>
      </c>
      <c r="I61" s="3">
        <v>10350000</v>
      </c>
    </row>
    <row r="62" spans="1:9" x14ac:dyDescent="0.35">
      <c r="A62">
        <v>730153004</v>
      </c>
      <c r="B62" t="s">
        <v>1620</v>
      </c>
      <c r="C62" t="s">
        <v>1556</v>
      </c>
      <c r="D62" t="s">
        <v>1577</v>
      </c>
      <c r="E62">
        <v>0</v>
      </c>
      <c r="F62">
        <v>6</v>
      </c>
      <c r="G62" s="3">
        <v>11500000</v>
      </c>
      <c r="H62" s="1">
        <v>0.1</v>
      </c>
      <c r="I62" s="3">
        <v>10350000</v>
      </c>
    </row>
    <row r="63" spans="1:9" x14ac:dyDescent="0.35">
      <c r="A63">
        <v>735460001</v>
      </c>
      <c r="B63" t="s">
        <v>1621</v>
      </c>
      <c r="C63" t="s">
        <v>1556</v>
      </c>
      <c r="D63" t="s">
        <v>1577</v>
      </c>
      <c r="E63">
        <v>1</v>
      </c>
      <c r="F63">
        <v>5</v>
      </c>
      <c r="G63" s="3">
        <v>11500000</v>
      </c>
      <c r="H63" s="1">
        <v>0.1</v>
      </c>
      <c r="I63" s="3">
        <v>10350000</v>
      </c>
    </row>
    <row r="64" spans="1:9" x14ac:dyDescent="0.35">
      <c r="A64">
        <v>735460002</v>
      </c>
      <c r="B64" t="s">
        <v>1622</v>
      </c>
      <c r="C64" t="s">
        <v>1556</v>
      </c>
      <c r="D64" t="s">
        <v>1577</v>
      </c>
      <c r="E64">
        <v>0</v>
      </c>
      <c r="F64">
        <v>3</v>
      </c>
      <c r="G64" s="3">
        <v>11500000</v>
      </c>
      <c r="H64" s="1">
        <v>0.1</v>
      </c>
      <c r="I64" s="3">
        <v>10350000</v>
      </c>
    </row>
    <row r="65" spans="1:9" x14ac:dyDescent="0.35">
      <c r="A65">
        <v>735460003</v>
      </c>
      <c r="B65" t="s">
        <v>1623</v>
      </c>
      <c r="C65" t="s">
        <v>1556</v>
      </c>
      <c r="D65" t="s">
        <v>1577</v>
      </c>
      <c r="E65">
        <v>0</v>
      </c>
      <c r="F65">
        <v>3</v>
      </c>
      <c r="G65" s="3">
        <v>11500000</v>
      </c>
      <c r="H65" s="1">
        <v>0.1</v>
      </c>
      <c r="I65" s="3">
        <v>10350000</v>
      </c>
    </row>
    <row r="66" spans="1:9" x14ac:dyDescent="0.35">
      <c r="A66">
        <v>733953004</v>
      </c>
      <c r="B66" t="s">
        <v>1624</v>
      </c>
      <c r="C66" t="s">
        <v>1556</v>
      </c>
      <c r="D66" t="s">
        <v>1625</v>
      </c>
      <c r="E66">
        <v>0</v>
      </c>
      <c r="F66">
        <v>1</v>
      </c>
      <c r="G66" s="3">
        <v>6500000</v>
      </c>
      <c r="H66" s="1">
        <v>0.1</v>
      </c>
      <c r="I66" s="3">
        <v>5850000</v>
      </c>
    </row>
    <row r="67" spans="1:9" x14ac:dyDescent="0.35">
      <c r="A67">
        <v>733953003</v>
      </c>
      <c r="B67" t="s">
        <v>1626</v>
      </c>
      <c r="C67" t="s">
        <v>1556</v>
      </c>
      <c r="D67" t="s">
        <v>1625</v>
      </c>
      <c r="E67">
        <v>0</v>
      </c>
      <c r="F67">
        <v>5</v>
      </c>
      <c r="G67" s="3">
        <v>6500000</v>
      </c>
      <c r="H67" s="1">
        <v>0.1</v>
      </c>
      <c r="I67" s="3">
        <v>5850000</v>
      </c>
    </row>
    <row r="68" spans="1:9" x14ac:dyDescent="0.35">
      <c r="A68">
        <v>733953002</v>
      </c>
      <c r="B68" t="s">
        <v>1627</v>
      </c>
      <c r="C68" t="s">
        <v>1556</v>
      </c>
      <c r="D68" t="s">
        <v>1625</v>
      </c>
      <c r="E68">
        <v>1</v>
      </c>
      <c r="F68">
        <v>7</v>
      </c>
      <c r="G68" s="3">
        <v>6500000</v>
      </c>
      <c r="H68" s="1">
        <v>0.1</v>
      </c>
      <c r="I68" s="3">
        <v>5850000</v>
      </c>
    </row>
    <row r="69" spans="1:9" x14ac:dyDescent="0.35">
      <c r="A69">
        <v>733952003</v>
      </c>
      <c r="B69" t="s">
        <v>1628</v>
      </c>
      <c r="C69" t="s">
        <v>1556</v>
      </c>
      <c r="D69" t="s">
        <v>1625</v>
      </c>
      <c r="E69">
        <v>0</v>
      </c>
      <c r="F69">
        <v>7</v>
      </c>
      <c r="G69" s="3">
        <v>6500000</v>
      </c>
      <c r="H69" s="1">
        <v>0.1</v>
      </c>
      <c r="I69" s="3">
        <v>5850000</v>
      </c>
    </row>
    <row r="70" spans="1:9" x14ac:dyDescent="0.35">
      <c r="A70">
        <v>733952002</v>
      </c>
      <c r="B70" t="s">
        <v>1629</v>
      </c>
      <c r="C70" t="s">
        <v>1556</v>
      </c>
      <c r="D70" t="s">
        <v>1625</v>
      </c>
      <c r="E70">
        <v>0</v>
      </c>
      <c r="F70">
        <v>2</v>
      </c>
      <c r="G70" s="3">
        <v>6500000</v>
      </c>
      <c r="H70" s="1">
        <v>0.1</v>
      </c>
      <c r="I70" s="3">
        <v>5850000</v>
      </c>
    </row>
    <row r="71" spans="1:9" x14ac:dyDescent="0.35">
      <c r="A71">
        <v>733954003</v>
      </c>
      <c r="B71" t="s">
        <v>1630</v>
      </c>
      <c r="C71" t="s">
        <v>1556</v>
      </c>
      <c r="D71" t="s">
        <v>1625</v>
      </c>
      <c r="E71">
        <v>0</v>
      </c>
      <c r="F71">
        <v>10</v>
      </c>
      <c r="G71" s="3">
        <v>6500000</v>
      </c>
      <c r="H71" s="1">
        <v>0.1</v>
      </c>
      <c r="I71" s="3">
        <v>5850000</v>
      </c>
    </row>
    <row r="72" spans="1:9" x14ac:dyDescent="0.35">
      <c r="A72">
        <v>733956003</v>
      </c>
      <c r="B72" t="s">
        <v>1631</v>
      </c>
      <c r="C72" t="s">
        <v>1556</v>
      </c>
      <c r="D72" t="s">
        <v>1625</v>
      </c>
      <c r="E72">
        <v>0</v>
      </c>
      <c r="F72">
        <v>5</v>
      </c>
      <c r="G72" s="3">
        <v>8000000</v>
      </c>
      <c r="H72" s="1">
        <v>0.1</v>
      </c>
      <c r="I72" s="3">
        <v>7200000</v>
      </c>
    </row>
    <row r="73" spans="1:9" x14ac:dyDescent="0.35">
      <c r="A73">
        <v>733956002</v>
      </c>
      <c r="B73" t="s">
        <v>1632</v>
      </c>
      <c r="C73" t="s">
        <v>1556</v>
      </c>
      <c r="D73" t="s">
        <v>1625</v>
      </c>
      <c r="E73">
        <v>0</v>
      </c>
      <c r="F73">
        <v>5</v>
      </c>
      <c r="G73" s="3">
        <v>8000000</v>
      </c>
      <c r="H73" s="1">
        <v>0.1</v>
      </c>
      <c r="I73" s="3">
        <v>7200000</v>
      </c>
    </row>
    <row r="74" spans="1:9" x14ac:dyDescent="0.35">
      <c r="A74">
        <v>733957004</v>
      </c>
      <c r="B74" t="s">
        <v>1633</v>
      </c>
      <c r="C74" t="s">
        <v>1556</v>
      </c>
      <c r="D74" t="s">
        <v>1625</v>
      </c>
      <c r="E74">
        <v>2</v>
      </c>
      <c r="F74">
        <v>0</v>
      </c>
      <c r="G74" s="3">
        <v>8000000</v>
      </c>
      <c r="H74" s="1">
        <v>0.1</v>
      </c>
      <c r="I74" s="3">
        <v>7200000</v>
      </c>
    </row>
    <row r="75" spans="1:9" x14ac:dyDescent="0.35">
      <c r="A75">
        <v>733957003</v>
      </c>
      <c r="B75" t="s">
        <v>1634</v>
      </c>
      <c r="C75" t="s">
        <v>1556</v>
      </c>
      <c r="D75" t="s">
        <v>1625</v>
      </c>
      <c r="E75">
        <v>1</v>
      </c>
      <c r="F75">
        <v>2</v>
      </c>
      <c r="G75" s="3">
        <v>8000000</v>
      </c>
      <c r="H75" s="1">
        <v>0.1</v>
      </c>
      <c r="I75" s="3">
        <v>7200000</v>
      </c>
    </row>
    <row r="76" spans="1:9" x14ac:dyDescent="0.35">
      <c r="A76">
        <v>732444001</v>
      </c>
      <c r="B76" t="s">
        <v>1635</v>
      </c>
      <c r="C76" t="s">
        <v>1556</v>
      </c>
      <c r="D76" t="s">
        <v>1625</v>
      </c>
      <c r="E76">
        <v>0</v>
      </c>
      <c r="F76">
        <v>1</v>
      </c>
      <c r="G76" s="3">
        <v>9000000</v>
      </c>
      <c r="H76" s="1">
        <v>0.1</v>
      </c>
      <c r="I76" s="3">
        <v>8100000</v>
      </c>
    </row>
    <row r="77" spans="1:9" x14ac:dyDescent="0.35">
      <c r="A77">
        <v>733964003</v>
      </c>
      <c r="B77" t="s">
        <v>1636</v>
      </c>
      <c r="C77" t="s">
        <v>1556</v>
      </c>
      <c r="D77" t="s">
        <v>1625</v>
      </c>
      <c r="E77">
        <v>0</v>
      </c>
      <c r="F77">
        <v>7</v>
      </c>
      <c r="G77" s="3">
        <v>11000000</v>
      </c>
      <c r="H77" s="1">
        <v>0.1</v>
      </c>
      <c r="I77" s="3">
        <v>9900000</v>
      </c>
    </row>
    <row r="78" spans="1:9" x14ac:dyDescent="0.35">
      <c r="A78">
        <v>733964002</v>
      </c>
      <c r="B78" t="s">
        <v>1637</v>
      </c>
      <c r="C78" t="s">
        <v>1556</v>
      </c>
      <c r="D78" t="s">
        <v>1625</v>
      </c>
      <c r="E78">
        <v>0</v>
      </c>
      <c r="F78">
        <v>6</v>
      </c>
      <c r="G78" s="3">
        <v>11000000</v>
      </c>
      <c r="H78" s="1">
        <v>0.1</v>
      </c>
      <c r="I78" s="3">
        <v>9900000</v>
      </c>
    </row>
    <row r="79" spans="1:9" x14ac:dyDescent="0.35">
      <c r="A79">
        <v>733964001</v>
      </c>
      <c r="B79" t="s">
        <v>1638</v>
      </c>
      <c r="C79" t="s">
        <v>1556</v>
      </c>
      <c r="D79" t="s">
        <v>1625</v>
      </c>
      <c r="E79">
        <v>1</v>
      </c>
      <c r="F79">
        <v>6</v>
      </c>
      <c r="G79" s="3">
        <v>11000000</v>
      </c>
      <c r="H79" s="1">
        <v>0.1</v>
      </c>
      <c r="I79" s="3">
        <v>9900000</v>
      </c>
    </row>
    <row r="80" spans="1:9" x14ac:dyDescent="0.35">
      <c r="A80">
        <v>731557001</v>
      </c>
      <c r="B80" t="s">
        <v>1639</v>
      </c>
      <c r="C80" t="s">
        <v>1556</v>
      </c>
      <c r="D80" t="s">
        <v>686</v>
      </c>
      <c r="E80">
        <v>2</v>
      </c>
      <c r="F80">
        <v>3</v>
      </c>
      <c r="G80" s="3">
        <v>23000000</v>
      </c>
      <c r="H80" s="1">
        <v>0.1</v>
      </c>
      <c r="I80" s="3">
        <v>20700000</v>
      </c>
    </row>
    <row r="81" spans="1:9" x14ac:dyDescent="0.35">
      <c r="A81">
        <v>731557002</v>
      </c>
      <c r="B81" t="s">
        <v>1640</v>
      </c>
      <c r="C81" t="s">
        <v>1556</v>
      </c>
      <c r="D81" t="s">
        <v>686</v>
      </c>
      <c r="E81">
        <v>3</v>
      </c>
      <c r="F81">
        <v>0</v>
      </c>
      <c r="G81" s="3">
        <v>23000000</v>
      </c>
      <c r="H81" s="1">
        <v>0.1</v>
      </c>
      <c r="I81" s="3">
        <v>20700000</v>
      </c>
    </row>
    <row r="82" spans="1:9" x14ac:dyDescent="0.35">
      <c r="A82">
        <v>705153002</v>
      </c>
      <c r="B82" t="s">
        <v>1641</v>
      </c>
      <c r="C82" t="s">
        <v>1556</v>
      </c>
      <c r="D82" t="s">
        <v>686</v>
      </c>
      <c r="E82">
        <v>0</v>
      </c>
      <c r="F82">
        <v>1</v>
      </c>
      <c r="G82" s="3">
        <v>19980000</v>
      </c>
      <c r="H82" s="1">
        <v>0.9</v>
      </c>
      <c r="I82" s="3">
        <v>1998000</v>
      </c>
    </row>
    <row r="83" spans="1:9" x14ac:dyDescent="0.35">
      <c r="A83">
        <v>705172001</v>
      </c>
      <c r="B83" t="s">
        <v>1642</v>
      </c>
      <c r="C83" t="s">
        <v>1556</v>
      </c>
      <c r="D83" t="s">
        <v>686</v>
      </c>
      <c r="E83">
        <v>0</v>
      </c>
      <c r="F83">
        <v>1</v>
      </c>
      <c r="G83" s="3">
        <v>22980000</v>
      </c>
      <c r="H83" s="1">
        <v>0.9</v>
      </c>
      <c r="I83" s="3">
        <v>2298000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77FB48FFB6134F9E956E20627D2A90" ma:contentTypeVersion="17" ma:contentTypeDescription="Create a new document." ma:contentTypeScope="" ma:versionID="de594f90e76fd828b761acc471317c2e">
  <xsd:schema xmlns:xsd="http://www.w3.org/2001/XMLSchema" xmlns:xs="http://www.w3.org/2001/XMLSchema" xmlns:p="http://schemas.microsoft.com/office/2006/metadata/properties" xmlns:ns2="fe52b10b-9e2a-45ae-98ca-92b5ef7c31c1" xmlns:ns3="a3ed1857-4281-4c3d-94c9-2a8d3f908626" targetNamespace="http://schemas.microsoft.com/office/2006/metadata/properties" ma:root="true" ma:fieldsID="dfe1762b382b4788aefa64300c979734" ns2:_="" ns3:_="">
    <xsd:import namespace="fe52b10b-9e2a-45ae-98ca-92b5ef7c31c1"/>
    <xsd:import namespace="a3ed1857-4281-4c3d-94c9-2a8d3f9086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PedalMerdeka2025_x002c_RDLMulyosari_x002c_31Agustus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2b10b-9e2a-45ae-98ca-92b5ef7c3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917fb7b-8927-4872-81b3-9a1b3fac65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PedalMerdeka2025_x002c_RDLMulyosari_x002c_31Agustus2025" ma:index="24" nillable="true" ma:displayName="Pedal Merdeka 2025, RDL Mulyosari, 31 Agustus 2025" ma:description="Pedal Merdeka 2025, RDL Mulyosari, 31 Agustus 2025" ma:format="Dropdown" ma:internalName="PedalMerdeka2025_x002c_RDLMulyosari_x002c_31Agustus2025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d1857-4281-4c3d-94c9-2a8d3f90862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3bb706-67ee-4d41-a758-d9e31992d700}" ma:internalName="TaxCatchAll" ma:showField="CatchAllData" ma:web="a3ed1857-4281-4c3d-94c9-2a8d3f9086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ed1857-4281-4c3d-94c9-2a8d3f908626" xsi:nil="true"/>
    <PedalMerdeka2025_x002c_RDLMulyosari_x002c_31Agustus2025 xmlns="fe52b10b-9e2a-45ae-98ca-92b5ef7c31c1" xsi:nil="true"/>
    <lcf76f155ced4ddcb4097134ff3c332f xmlns="fe52b10b-9e2a-45ae-98ca-92b5ef7c31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EDF4B-C86B-4E22-8F3F-BA3C142FCD87}"/>
</file>

<file path=customXml/itemProps2.xml><?xml version="1.0" encoding="utf-8"?>
<ds:datastoreItem xmlns:ds="http://schemas.openxmlformats.org/officeDocument/2006/customXml" ds:itemID="{81721418-03FB-4367-B6C3-0217FFEB6D35}"/>
</file>

<file path=customXml/itemProps3.xml><?xml version="1.0" encoding="utf-8"?>
<ds:datastoreItem xmlns:ds="http://schemas.openxmlformats.org/officeDocument/2006/customXml" ds:itemID="{87D36F4D-7250-42EC-B81A-876D22562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</vt:lpstr>
      <vt:lpstr>Diskon Up to 81%</vt:lpstr>
      <vt:lpstr>Diskon 10% Thule</vt:lpstr>
      <vt:lpstr>Gratis Tas_Paper Bag</vt:lpstr>
      <vt:lpstr>Aging PAA</vt:lpstr>
      <vt:lpstr>Aging Polygon</vt:lpstr>
      <vt:lpstr>Aging Marin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Wongso Hidayat</dc:creator>
  <cp:lastModifiedBy>Sugi Mulyono</cp:lastModifiedBy>
  <dcterms:created xsi:type="dcterms:W3CDTF">2026-06-30T02:31:59Z</dcterms:created>
  <dcterms:modified xsi:type="dcterms:W3CDTF">2026-07-31T10:10:29Z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0x010100E177FB48FFB6134F9E956E20627D2A90</vt:lpwstr>
  </property>
</Properties>
</file>